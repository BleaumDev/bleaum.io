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d &amp; Replace" sheetId="1" state="visible" r:id="rId3"/>
    <sheet name="Summary" sheetId="2" state="visible" r:id="rId4"/>
    <sheet name="Not yet reviewed" sheetId="3" state="visible" r:id="rId5"/>
    <sheet name="Legend" sheetId="4" state="visible" r:id="rId6"/>
  </sheets>
  <definedNames>
    <definedName function="false" hidden="true" localSheetId="0" name="_xlnm._FilterDatabase" vbProcedure="false">'Find &amp; Replace'!$A$1:$I$130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<sst xmlns="http://schemas.openxmlformats.org/spreadsheetml/2006/main" count="1011" uniqueCount="383">
  <si>
    <t xml:space="preserve">#</t>
  </si>
  <si>
    <t xml:space="preserve">Page</t>
  </si>
  <si>
    <t xml:space="preserve">URL path</t>
  </si>
  <si>
    <t xml:space="preserve">Find (current text)</t>
  </si>
  <si>
    <t xml:space="preserve">Replace with / action</t>
  </si>
  <si>
    <t xml:space="preserve">Type</t>
  </si>
  <si>
    <t xml:space="preserve">Priority</t>
  </si>
  <si>
    <t xml:space="preserve">Status</t>
  </si>
  <si>
    <t xml:space="preserve">Notes</t>
  </si>
  <si>
    <t xml:space="preserve">All pages</t>
  </si>
  <si>
    <t xml:space="preserve">-</t>
  </si>
  <si>
    <t xml:space="preserve">budtender(s)</t>
  </si>
  <si>
    <t xml:space="preserve">associate(s) or staff</t>
  </si>
  <si>
    <t xml:space="preserve">Wording</t>
  </si>
  <si>
    <t xml:space="preserve">High</t>
  </si>
  <si>
    <t xml:space="preserve">To do</t>
  </si>
  <si>
    <t xml:space="preserve">Search every page, template and image alt text.</t>
  </si>
  <si>
    <t xml:space="preserve">dispensary / dispensaries (not partner names)</t>
  </si>
  <si>
    <t xml:space="preserve">store(s)</t>
  </si>
  <si>
    <t xml:space="preserve">Leave third-party company names untouched.</t>
  </si>
  <si>
    <t xml:space="preserve">Metrc / METRC / BioTrack</t>
  </si>
  <si>
    <t xml:space="preserve">state tracking and reporting integrations</t>
  </si>
  <si>
    <t xml:space="preserve">On Compliance, Inventory and Integrations pages, rewrite the section instead of swapping words.</t>
  </si>
  <si>
    <t xml:space="preserve">seed-to-sale</t>
  </si>
  <si>
    <t xml:space="preserve">full traceability</t>
  </si>
  <si>
    <t xml:space="preserve">"gram" / "every gram"</t>
  </si>
  <si>
    <t xml:space="preserve">"item" / "every item"</t>
  </si>
  <si>
    <t xml:space="preserve">Medium</t>
  </si>
  <si>
    <t xml:space="preserve">any remaining "cannabis"</t>
  </si>
  <si>
    <t xml:space="preserve">"regulated retail" (or delete)</t>
  </si>
  <si>
    <t xml:space="preserve">Check meta tags, alt text, blog titles, form labels and testimonials.</t>
  </si>
  <si>
    <t xml:space="preserve">Grammar left by earlier word swaps: 'worked in retailers', 'run a any', 'Elevate Your retail shop Operations', 'for retailers' in titles</t>
  </si>
  <si>
    <t xml:space="preserve">Fix wording and capitalization</t>
  </si>
  <si>
    <t xml:space="preserve">Typo</t>
  </si>
  <si>
    <t xml:space="preserve">See the page rows for exact strings.</t>
  </si>
  <si>
    <t xml:space="preserve">Nav and footer link "State Laws: Cannabis regulations by state"</t>
  </si>
  <si>
    <t xml:space="preserve">Remove, or move to a separate resource site</t>
  </si>
  <si>
    <t xml:space="preserve">Decision</t>
  </si>
  <si>
    <t xml:space="preserve">See State Laws page.</t>
  </si>
  <si>
    <t xml:space="preserve">Top nav "Product" link</t>
  </si>
  <si>
    <t xml:space="preserve">Point to a real page (e.g. /grow/point-of-sale) or build a Product overview page</t>
  </si>
  <si>
    <t xml:space="preserve">Technical</t>
  </si>
  <si>
    <t xml:space="preserve">Currently returns a 404.</t>
  </si>
  <si>
    <t xml:space="preserve">Every page title is "Bleaum"</t>
  </si>
  <si>
    <t xml:space="preserve">Unique title per page, e.g. "Point of Sale | Bleaum"</t>
  </si>
  <si>
    <t xml:space="preserve">Also fixes Blog pages that only add "- Bleaum".</t>
  </si>
  <si>
    <t xml:space="preserve">Every meta description is "Empowering businesses with innovative solutions for growth and success."</t>
  </si>
  <si>
    <t xml:space="preserve">Unique description per page. Home: "Bleaum is your business in a box: POS, invoicing, inventory, ordering, delivery and AI on one real-time platform."</t>
  </si>
  <si>
    <t xml:space="preserve">Share image points to your-website-url.com (placeholder)</t>
  </si>
  <si>
    <t xml:space="preserve">Host a real 1152x648 image and update og:image and twitter:image</t>
  </si>
  <si>
    <t xml:space="preserve">Links shared on social show no preview today.</t>
  </si>
  <si>
    <t xml:space="preserve">Footer "© 2025 Bleaum"</t>
  </si>
  <si>
    <t xml:space="preserve">"© 2026 Bleaum" (or a dynamic year)</t>
  </si>
  <si>
    <t xml:space="preserve">Low</t>
  </si>
  <si>
    <t xml:space="preserve">Footer tagline "Empowering businesses with innovative solutions for growth and success."</t>
  </si>
  <si>
    <t xml:space="preserve">"Your business in a box." or similar</t>
  </si>
  <si>
    <t xml:space="preserve">Named customer testimonials on many pages (Perry Jones, AJ, Collin, Hugo, Cam, Casey, Abigail, Will, Samantha, Diana, Andrew H., Dominique)</t>
  </si>
  <si>
    <t xml:space="preserve">Get written permission; consider anonymizing business names</t>
  </si>
  <si>
    <t xml:space="preserve">Verify</t>
  </si>
  <si>
    <t xml:space="preserve">Business names such as Happy Root and Project Releaf can themselves point to the industry.</t>
  </si>
  <si>
    <t xml:space="preserve">Company counts: 300+ (site), "Hundreds of retailers", 200+ (NVIDIA deck)</t>
  </si>
  <si>
    <t xml:space="preserve">Use one documented number everywhere, including every grant and program application</t>
  </si>
  <si>
    <t xml:space="preserve">Absolute claims: 99.9% uptime, 99.9% compliance, 100% compliant, 100% secure, "No more fines"</t>
  </si>
  <si>
    <t xml:space="preserve">Remove, or replace with measured and documentable statements</t>
  </si>
  <si>
    <t xml:space="preserve">Absolutes create liability if a customer is ever fined or breached.</t>
  </si>
  <si>
    <t xml:space="preserve">Old pages and posts</t>
  </si>
  <si>
    <t xml:space="preserve">Add 301 redirects when URLs change</t>
  </si>
  <si>
    <t xml:space="preserve">Search engines and archives keep old versions; redirects keep links working but do not erase history.</t>
  </si>
  <si>
    <t xml:space="preserve">Home</t>
  </si>
  <si>
    <t xml:space="preserve">/</t>
  </si>
  <si>
    <t xml:space="preserve">Hero: "Where Retail Runs Smart / Trusted by 300+ retailers and specialty retailers"</t>
  </si>
  <si>
    <t xml:space="preserve">New hero, e.g. "Run your whole business from one hand." plus the 'business in a box' subline</t>
  </si>
  <si>
    <t xml:space="preserve">Introduce handheld, invoicing and AI once they are live.</t>
  </si>
  <si>
    <t xml:space="preserve">Inventory demo: Blue Dream, OG Kush Pre-rolls, Sativa Gummies, CBD Tincture</t>
  </si>
  <si>
    <t xml:space="preserve">Neutral items, e.g. Canvas Tote, Ceramic Mug, Leather Wallet (low stock), Candle Set</t>
  </si>
  <si>
    <t xml:space="preserve">Keep the low-stock warning on one item.</t>
  </si>
  <si>
    <t xml:space="preserve">Delivery demo uses customer names as drivers (AJ, Perry, Andrew)</t>
  </si>
  <si>
    <t xml:space="preserve">Placeholder driver names</t>
  </si>
  <si>
    <t xml:space="preserve">Compliance Ready card: "Metrc integration"</t>
  </si>
  <si>
    <t xml:space="preserve">"State reporting integrations"</t>
  </si>
  <si>
    <t xml:space="preserve">"Metrc, BioTrack &amp; state compliance systems"</t>
  </si>
  <si>
    <t xml:space="preserve">"State tracking and reporting integrations"</t>
  </si>
  <si>
    <t xml:space="preserve">Industries: Cannabis Retail &amp; Delivery / Pharmacies &amp; Wellness / High-Compliance Retail</t>
  </si>
  <si>
    <t xml:space="preserve">Retail &amp; Specialty Stores / Wholesale &amp; Distribution / Regulated Markets</t>
  </si>
  <si>
    <t xml:space="preserve">Update card text to match.</t>
  </si>
  <si>
    <t xml:space="preserve">Stats: 300+ retailers, 98% satisfaction, 99.9% uptime, 50% time saved, 24/7 support</t>
  </si>
  <si>
    <t xml:space="preserve">Keep only what you can document</t>
  </si>
  <si>
    <t xml:space="preserve">"SOC 2 compliant"</t>
  </si>
  <si>
    <t xml:space="preserve">Keep only if you hold a current SOC 2 report; otherwise remove or say "in progress"</t>
  </si>
  <si>
    <t xml:space="preserve">"Our Professional Expertise ... gallery of successful projects"</t>
  </si>
  <si>
    <t xml:space="preserve">"Explore the platform" (reads like an agency, not a product)</t>
  </si>
  <si>
    <t xml:space="preserve">"POS onboard in 24 hours", "Transparent pricing, no hidden fees"</t>
  </si>
  <si>
    <t xml:space="preserve">Verify, or soften</t>
  </si>
  <si>
    <t xml:space="preserve">"Environmental impact reduction" (Receipts)</t>
  </si>
  <si>
    <t xml:space="preserve">Remove unless substantiated</t>
  </si>
  <si>
    <t xml:space="preserve">Customer quotes (AJ/Happy Root, Collin/Park Social, Hugo/Go Green, Cam/Project Releaf, Perry Jones)</t>
  </si>
  <si>
    <t xml:space="preserve">Permission and wording check; "delivery times improved by 40%" needs support</t>
  </si>
  <si>
    <t xml:space="preserve">Point of Sale</t>
  </si>
  <si>
    <t xml:space="preserve">/grow/point-of-sale</t>
  </si>
  <si>
    <t xml:space="preserve">"whether you run a any high-stakes retail"</t>
  </si>
  <si>
    <t xml:space="preserve">"whether you run any high-stakes retail operation"</t>
  </si>
  <si>
    <t xml:space="preserve">"Automatic METRC sync" / "METRC and BioTrack sync"</t>
  </si>
  <si>
    <t xml:space="preserve">"Automatic state reporting sync"</t>
  </si>
  <si>
    <t xml:space="preserve">"Your budtenders will thank you" / "New budtenders are confident on day one"</t>
  </si>
  <si>
    <t xml:space="preserve">"Your team will thank you" / "New staff are confident on day one"</t>
  </si>
  <si>
    <t xml:space="preserve">"Our support team has actually worked in retailers"</t>
  </si>
  <si>
    <t xml:space="preserve">"worked in retail"</t>
  </si>
  <si>
    <t xml:space="preserve">"Compliance anxiety / Audit-ready, always" row</t>
  </si>
  <si>
    <t xml:space="preserve">Keep concept; reword without brand names</t>
  </si>
  <si>
    <t xml:space="preserve">30-second checkout, 3x faster, 99.9% compliance, 90% faster training, 25% higher sales</t>
  </si>
  <si>
    <t xml:space="preserve">Verify or remove</t>
  </si>
  <si>
    <t xml:space="preserve">Includes the "Numbers That Matter" block.</t>
  </si>
  <si>
    <t xml:space="preserve">"Passed our state audit with zero issues. The inspector was impressed."</t>
  </si>
  <si>
    <t xml:space="preserve">Neutralize or remove; confirm permission</t>
  </si>
  <si>
    <t xml:space="preserve">"24/7 Human Support ... No bots"</t>
  </si>
  <si>
    <t xml:space="preserve">Confirm staffing truly covers 24/7</t>
  </si>
  <si>
    <t xml:space="preserve">Integration chips: METRC Sync</t>
  </si>
  <si>
    <t xml:space="preserve">"State Reporting Sync"</t>
  </si>
  <si>
    <t xml:space="preserve">Ecommerce</t>
  </si>
  <si>
    <t xml:space="preserve">/grow/ecommerce</t>
  </si>
  <si>
    <t xml:space="preserve">"Metrc compliance" (Real-Time POS Integration)</t>
  </si>
  <si>
    <t xml:space="preserve">"state compliance reporting"</t>
  </si>
  <si>
    <t xml:space="preserve">Comparison table: "Embedded menus only"</t>
  </si>
  <si>
    <t xml:space="preserve">"Embedded storefronts only"</t>
  </si>
  <si>
    <t xml:space="preserve">Also change "online menu" wording on other pages to "online store".</t>
  </si>
  <si>
    <t xml:space="preserve">Integrations: QuickBooks, Weedmaps, Leafly, Custom API Access</t>
  </si>
  <si>
    <t xml:space="preserve">Keep QuickBooks and Custom API; move Weedmaps and Leafly to the Integrations page or remove</t>
  </si>
  <si>
    <t xml:space="preserve">"Customer retention went up 40%" / "doubled our repeat customers"</t>
  </si>
  <si>
    <t xml:space="preserve">Testimonial block (Casey, Abigail, AJ, Will, Samantha) is repeated twice</t>
  </si>
  <si>
    <t xml:space="preserve">Remove the duplicate set; confirm permission</t>
  </si>
  <si>
    <t xml:space="preserve">Form: "What type of business are you" with options Marketing / Ecommerce / Delivery / Other</t>
  </si>
  <si>
    <t xml:space="preserve">Options should be business types: Retail / Wholesale / Distribution / Other</t>
  </si>
  <si>
    <t xml:space="preserve">Current options describe services, not business types.</t>
  </si>
  <si>
    <t xml:space="preserve">Form consent text (marketing communications)</t>
  </si>
  <si>
    <t xml:space="preserve">Have counsel review</t>
  </si>
  <si>
    <t xml:space="preserve">Legal review</t>
  </si>
  <si>
    <t xml:space="preserve">"Restrict by inventory, license, or region"</t>
  </si>
  <si>
    <t xml:space="preserve">Keep</t>
  </si>
  <si>
    <t xml:space="preserve">Neutral wording.</t>
  </si>
  <si>
    <t xml:space="preserve">Marketing</t>
  </si>
  <si>
    <t xml:space="preserve">/grow/marketing</t>
  </si>
  <si>
    <t xml:space="preserve">"Coming Soon" tags: Smart Email &amp; SMS Campaigns, Customer Segmentation</t>
  </si>
  <si>
    <t xml:space="preserve">Confirm they still match what is live</t>
  </si>
  <si>
    <t xml:space="preserve">"40% average increase in repeat customers", "2.3x higher push open rates", "24 hours to first campaign"</t>
  </si>
  <si>
    <t xml:space="preserve">"Our regulars spend 40% more since we launched loyalty"</t>
  </si>
  <si>
    <t xml:space="preserve">Verify; confirm permission</t>
  </si>
  <si>
    <t xml:space="preserve">"your online menu" / "online menu, ecommerce"</t>
  </si>
  <si>
    <t xml:space="preserve">"your online store"</t>
  </si>
  <si>
    <t xml:space="preserve">"Hundreds of retailers use Bleaum"</t>
  </si>
  <si>
    <t xml:space="preserve">Match the one documented count</t>
  </si>
  <si>
    <t xml:space="preserve">SMS and push marketing claims</t>
  </si>
  <si>
    <t xml:space="preserve">Add a note on customer consent (TCPA/CAN-SPAM) in terms or onboarding</t>
  </si>
  <si>
    <t xml:space="preserve">Payments</t>
  </si>
  <si>
    <t xml:space="preserve">/grow/payments</t>
  </si>
  <si>
    <t xml:space="preserve">Intro quote: "From high-compliance verticals like cannabis and hemp to everyday retail..."</t>
  </si>
  <si>
    <t xml:space="preserve">"From regulated retail to everyday retail, wellness, and services..."</t>
  </si>
  <si>
    <t xml:space="preserve">"built for cannabis regulations"</t>
  </si>
  <si>
    <t xml:space="preserve">"built for regulated retail"</t>
  </si>
  <si>
    <t xml:space="preserve">"Industries We Serve": Regulated (Cannabis Retail, CBD and Hemp, Liqour Stores, Pharmaceutical Outlets) / Non-Regulated (Event Services, Digital &amp; Professional Services)</t>
  </si>
  <si>
    <t xml:space="preserve">Retail, Wellness, Events, Professional services</t>
  </si>
  <si>
    <t xml:space="preserve">Fix the "Liqour" typo if any item stays.</t>
  </si>
  <si>
    <t xml:space="preserve">Cashless ATM (POB): "PIN debit workaround for restricted industries"</t>
  </si>
  <si>
    <t xml:space="preserve">Pull from public messaging until a payments attorney or your processor reviews it</t>
  </si>
  <si>
    <t xml:space="preserve">Card networks and mainstream processors may restrict this. Review before marketing Bleaum Pay broadly.</t>
  </si>
  <si>
    <t xml:space="preserve">Table rows with "Best for: Cannabis" / "Cannabis (where allowed)"</t>
  </si>
  <si>
    <t xml:space="preserve">Replace with neutral industries</t>
  </si>
  <si>
    <t xml:space="preserve">Workflows: "Delivery-Only Cannabis"; "Retail Shop: Credit Terminal + Virtual ACH + Cashless ATM"</t>
  </si>
  <si>
    <t xml:space="preserve">Rewrite with neutral examples; drop the Cashless ATM pairing</t>
  </si>
  <si>
    <t xml:space="preserve">"Stores using cashless payments see 25-30% higher order values"</t>
  </si>
  <si>
    <t xml:space="preserve">Cite a source or remove</t>
  </si>
  <si>
    <t xml:space="preserve">"100% secure", "Fully compliant"</t>
  </si>
  <si>
    <t xml:space="preserve">Soften, e.g. "End-to-end encrypted" and "built for regulated retail"</t>
  </si>
  <si>
    <t xml:space="preserve">"Same-day funds", "No hidden fees, no long-term contracts"</t>
  </si>
  <si>
    <t xml:space="preserve">Confirm with your processor agreements</t>
  </si>
  <si>
    <t xml:space="preserve">Quote attributed to Collin, Park Social appears as an intro to the page</t>
  </si>
  <si>
    <t xml:space="preserve">Confirm it is a real, approved quote</t>
  </si>
  <si>
    <t xml:space="preserve">Delivery</t>
  </si>
  <si>
    <t xml:space="preserve">/grow/delivery</t>
  </si>
  <si>
    <t xml:space="preserve">"Track every gram, every stop"</t>
  </si>
  <si>
    <t xml:space="preserve">"Track every item, every stop"</t>
  </si>
  <si>
    <t xml:space="preserve">"Vehicle-specific limits and compliance caps"</t>
  </si>
  <si>
    <t xml:space="preserve">"Vehicle load limits and compliance rules"</t>
  </si>
  <si>
    <t xml:space="preserve">"Digital ID check and signature capture"</t>
  </si>
  <si>
    <t xml:space="preserve">Useful for any age-restricted goods.</t>
  </si>
  <si>
    <t xml:space="preserve">"Routes, manifests, and compliance"</t>
  </si>
  <si>
    <t xml:space="preserve">Reporting</t>
  </si>
  <si>
    <t xml:space="preserve">/operations/reporting-analytics</t>
  </si>
  <si>
    <t xml:space="preserve">"Coming Soon" tags: AI-Powered Insights, Automated Compliance Reports</t>
  </si>
  <si>
    <t xml:space="preserve">Confirm status</t>
  </si>
  <si>
    <t xml:space="preserve">"Real Results from Real Shops"</t>
  </si>
  <si>
    <t xml:space="preserve">"Real Results from Real Retailers"</t>
  </si>
  <si>
    <t xml:space="preserve">"Our profit margins improved 15% in the first quarter"; "The AI caught a pricing issue we missed for weeks"</t>
  </si>
  <si>
    <t xml:space="preserve">Verify and confirm permission (Perry Jones)</t>
  </si>
  <si>
    <t xml:space="preserve">The AI quote is risky if the AI feature is still Coming Soon.</t>
  </si>
  <si>
    <t xml:space="preserve">"I can see all 5 locations at a glance" / "Audit prep went from days to minutes"</t>
  </si>
  <si>
    <t xml:space="preserve">Compliance</t>
  </si>
  <si>
    <t xml:space="preserve">/operations/automated-compilance</t>
  </si>
  <si>
    <t xml:space="preserve">"adapts to your state's specific cannabis regulations"</t>
  </si>
  <si>
    <t xml:space="preserve">"adapts to your state's specific regulations"</t>
  </si>
  <si>
    <t xml:space="preserve">"reported to state systems like Metrc, BioTrack, and others"</t>
  </si>
  <si>
    <t xml:space="preserve">"reported to the state tracking systems you are required to use"</t>
  </si>
  <si>
    <t xml:space="preserve">"Metrc, BioTrack, or custom-trace state support"</t>
  </si>
  <si>
    <t xml:space="preserve">"Support for state tracking systems and custom traceability"</t>
  </si>
  <si>
    <t xml:space="preserve">"purchase limits for each customer, medical or recreational"</t>
  </si>
  <si>
    <t xml:space="preserve">"per-customer purchase limits where required"</t>
  </si>
  <si>
    <t xml:space="preserve">"auto-checks for zeroed out packages, Metrc sync issues"</t>
  </si>
  <si>
    <t xml:space="preserve">"auto-checks for inventory discrepancies and sync issues"</t>
  </si>
  <si>
    <t xml:space="preserve">"HIPAA-ready architecture"</t>
  </si>
  <si>
    <t xml:space="preserve">Verify, or remove unless you have documented safeguards</t>
  </si>
  <si>
    <t xml:space="preserve">"No more fines."</t>
  </si>
  <si>
    <t xml:space="preserve">"Fewer surprises."</t>
  </si>
  <si>
    <t xml:space="preserve">Absolute claim.</t>
  </si>
  <si>
    <t xml:space="preserve">Page URL "automated-compilance" (typo)</t>
  </si>
  <si>
    <t xml:space="preserve">Rename to /automated-compliance with a 301 redirect</t>
  </si>
  <si>
    <t xml:space="preserve">Also update every nav and card link.</t>
  </si>
  <si>
    <t xml:space="preserve">Product labels "state-compliant" builder</t>
  </si>
  <si>
    <t xml:space="preserve">Keep, but confirm labeling is generic and not tied to cannabis packaging rules</t>
  </si>
  <si>
    <t xml:space="preserve">Inventory</t>
  </si>
  <si>
    <t xml:space="preserve">/operations/inventory-management</t>
  </si>
  <si>
    <t xml:space="preserve">"the best inventory system in cannabis"</t>
  </si>
  <si>
    <t xml:space="preserve">Delete</t>
  </si>
  <si>
    <t xml:space="preserve">"One-click Metrc acceptance, auto-sync with BioTrack"</t>
  </si>
  <si>
    <t xml:space="preserve">"One-click package acceptance, auto-sync with state systems"</t>
  </si>
  <si>
    <t xml:space="preserve">"Seed-to-sale tracking" bullet; "METRC integration / BioTrack sync" list</t>
  </si>
  <si>
    <t xml:space="preserve">"Full traceability"; "State system sync"</t>
  </si>
  <si>
    <t xml:space="preserve">"99.9% compliance rate" / "99.9% Compliance Status" / "100% compliant ... haven't had a single violation"</t>
  </si>
  <si>
    <t xml:space="preserve">Remove or replace with documented facts</t>
  </si>
  <si>
    <t xml:space="preserve">"Unlimited locations"</t>
  </si>
  <si>
    <t xml:space="preserve">Verify technical and contractual limits</t>
  </si>
  <si>
    <t xml:space="preserve">"Save 3+ hours per audit", "10x faster operations", "75% time saved", "4-hour counts to 20 minutes"</t>
  </si>
  <si>
    <t xml:space="preserve">"I can manage 6 locations and Move 100 items easily"</t>
  </si>
  <si>
    <t xml:space="preserve">Fix capitalization and punctuation, or replace the quote</t>
  </si>
  <si>
    <t xml:space="preserve">Testimonial: Andrew H., Ontario, Canada (Go Green)</t>
  </si>
  <si>
    <t xml:space="preserve">Confirm permission</t>
  </si>
  <si>
    <t xml:space="preserve">Integrations</t>
  </si>
  <si>
    <t xml:space="preserve">/operations/integrations</t>
  </si>
  <si>
    <t xml:space="preserve">Partner grid is dominated by cannabis-industry tools: Metrc, BioTrack, IDScan, Merchant Club USA, Aeropay, GrowFlow, Treez, Cova, Indica Online, Weave, Leafly, Weedmaps, Springbig, Blackleaf, Green Dispensary Marketing</t>
  </si>
  <si>
    <t xml:space="preserve">Split into "Regulated retail integrations" and "General integrations" (QuickBooks, Lightspeed, Google Analytics, cloud providers)</t>
  </si>
  <si>
    <t xml:space="preserve">This page is the clearest signal of your customer base; decide deliberately what to show.</t>
  </si>
  <si>
    <t xml:space="preserve">Card descriptions say "for cannabis businesses / cannabis retailers"</t>
  </si>
  <si>
    <t xml:space="preserve">Rewrite each with neutral descriptions</t>
  </si>
  <si>
    <t xml:space="preserve">"We've partnered with industry leaders" with Google, Microsoft, AWS, Azure logos tagged "Startups" / "Partners"</t>
  </si>
  <si>
    <t xml:space="preserve">Say exactly what it is, e.g. "Member of Google for Startups, Microsoft for Startups, AWS"; check logo-use permission</t>
  </si>
  <si>
    <t xml:space="preserve">Do not imply formal partnerships you do not have.</t>
  </si>
  <si>
    <t xml:space="preserve">QuickBooks shown as a partner but its card says "Coming Soon"; Ecommerce page also lists it</t>
  </si>
  <si>
    <t xml:space="preserve">Make status consistent everywhere</t>
  </si>
  <si>
    <t xml:space="preserve">"AI Reporting" listed as a partner and marked "Coming Soon"</t>
  </si>
  <si>
    <t xml:space="preserve">Move to roadmap or label as Bleaum AI</t>
  </si>
  <si>
    <t xml:space="preserve">"METRC seed-to-sale tracking ... cannabis regulations"; "BioTrack ... cannabis businesses"</t>
  </si>
  <si>
    <t xml:space="preserve">Neutral: "State traceability integration"</t>
  </si>
  <si>
    <t xml:space="preserve">"Become an integration partner? Let's talk" links to /contact</t>
  </si>
  <si>
    <t xml:space="preserve">Check the /contact page exists and works</t>
  </si>
  <si>
    <t xml:space="preserve">Diana, Doctor Greens quote</t>
  </si>
  <si>
    <t xml:space="preserve">Industries</t>
  </si>
  <si>
    <t xml:space="preserve">/resources/Industries</t>
  </si>
  <si>
    <t xml:space="preserve">"operating in a highly controlled industry like cannabis"</t>
  </si>
  <si>
    <t xml:space="preserve">"operating in a highly regulated industry"</t>
  </si>
  <si>
    <t xml:space="preserve">"Cannabis Retail" link to /resources/state-laws</t>
  </si>
  <si>
    <t xml:space="preserve">Remove</t>
  </si>
  <si>
    <t xml:space="preserve">"CBD &amp; Hemp, Pharmaceutical Outlets, Liquor Stores"</t>
  </si>
  <si>
    <t xml:space="preserve">Decide which regulated verticals to keep</t>
  </si>
  <si>
    <t xml:space="preserve">"Compliance-Ready: Integrated with METRC and other regulatory systems"</t>
  </si>
  <si>
    <t xml:space="preserve">"Integrated with state and regulatory systems"</t>
  </si>
  <si>
    <t xml:space="preserve">Add Wholesale &amp; Distribution and mass-market verticals you want to target</t>
  </si>
  <si>
    <t xml:space="preserve">Expand list and give each a short description</t>
  </si>
  <si>
    <t xml:space="preserve">Retail verticals already listed: apparel, convenience, beauty, electronics, health, supplements.</t>
  </si>
  <si>
    <t xml:space="preserve">URL "/resources/Industries" (capital I)</t>
  </si>
  <si>
    <t xml:space="preserve">Lowercase, with a redirect</t>
  </si>
  <si>
    <t xml:space="preserve">About</t>
  </si>
  <si>
    <t xml:space="preserve">/company/about</t>
  </si>
  <si>
    <t xml:space="preserve">Section heading "Built for Cannabis" and its text: "We got our start in cannabis retail ... including cannabis, wellness, retail, and more"</t>
  </si>
  <si>
    <t xml:space="preserve">"Built for regulated retail." "We got our start in regulated retail, where compliance, efficiency, and precision are everything. Today our platform supports a wide range of regulated and fast-moving industries."</t>
  </si>
  <si>
    <t xml:space="preserve">Keep the story true: say you started in regulated retail, and answer plainly if a partner, processor or funder asks about your customers.</t>
  </si>
  <si>
    <t xml:space="preserve">"Trusted by over 300+ retailers"</t>
  </si>
  <si>
    <t xml:space="preserve">"over 300" (grammar) and use the documented number</t>
  </si>
  <si>
    <t xml:space="preserve">Stat blocks "Hours Saved Weekly" (no number), "50% Time Savings"</t>
  </si>
  <si>
    <t xml:space="preserve">Fill in a documented number or remove</t>
  </si>
  <si>
    <t xml:space="preserve">"Established 2021"</t>
  </si>
  <si>
    <t xml:space="preserve">Confirm against formation records</t>
  </si>
  <si>
    <t xml:space="preserve">Testimonial: Dominique, Green Releaf (elsewhere "Project Releaf")</t>
  </si>
  <si>
    <t xml:space="preserve">Confirm business name and permission</t>
  </si>
  <si>
    <t xml:space="preserve">"Join Our Community" button</t>
  </si>
  <si>
    <t xml:space="preserve">Confirm destination; add Miami, FL and leadership</t>
  </si>
  <si>
    <t xml:space="preserve">Support</t>
  </si>
  <si>
    <t xml:space="preserve">/company/support</t>
  </si>
  <si>
    <t xml:space="preserve">Page shows no content (only nav and footer)</t>
  </si>
  <si>
    <t xml:space="preserve">Add support hours, phone, email, chat and a help center link</t>
  </si>
  <si>
    <t xml:space="preserve">The site promises 24/7 human support but this page gives no way to reach it.</t>
  </si>
  <si>
    <t xml:space="preserve">Careers</t>
  </si>
  <si>
    <t xml:space="preserve">/company/careers</t>
  </si>
  <si>
    <t xml:space="preserve">"Careers page coming soon."</t>
  </si>
  <si>
    <t xml:space="preserve">Publish roles, or remove the nav and footer links until ready</t>
  </si>
  <si>
    <t xml:space="preserve">Demo</t>
  </si>
  <si>
    <t xml:space="preserve">/demo</t>
  </si>
  <si>
    <t xml:space="preserve">"the system that's setting the new standard in retail"</t>
  </si>
  <si>
    <t xml:space="preserve">"the platform built for how retail really runs" or similar</t>
  </si>
  <si>
    <t xml:space="preserve">Unsubstantiated superlative.</t>
  </si>
  <si>
    <t xml:space="preserve">State dropdown lists US states only</t>
  </si>
  <si>
    <t xml:space="preserve">Add DC, Canadian provinces and "Other"</t>
  </si>
  <si>
    <t xml:space="preserve">You have a customer in Ontario.</t>
  </si>
  <si>
    <t xml:space="preserve">Add fields: Industry and Devices you use</t>
  </si>
  <si>
    <t xml:space="preserve">Add two optional fields</t>
  </si>
  <si>
    <t xml:space="preserve">Helps route leads and tailor demos.</t>
  </si>
  <si>
    <t xml:space="preserve">Form consent and privacy text</t>
  </si>
  <si>
    <t xml:space="preserve">Refer</t>
  </si>
  <si>
    <t xml:space="preserve">/resources/refer</t>
  </si>
  <si>
    <t xml:space="preserve">Headline "Earn $500" vs body "Get up to $500" and "$500 POS / $200 Ecommerce"</t>
  </si>
  <si>
    <t xml:space="preserve">One consistent offer</t>
  </si>
  <si>
    <t xml:space="preserve">"Payout in USD/CAD" but State dropdown is US states only</t>
  </si>
  <si>
    <t xml:space="preserve">Add provinces or remove CAD</t>
  </si>
  <si>
    <t xml:space="preserve">Label "* retail shop State*" is garbled</t>
  </si>
  <si>
    <t xml:space="preserve">"State / Province"</t>
  </si>
  <si>
    <t xml:space="preserve">Referral program terms (cash payments, 90-day window, marketing consent)</t>
  </si>
  <si>
    <t xml:space="preserve">Have counsel and your accountant review (tax reporting, disclosures)</t>
  </si>
  <si>
    <t xml:space="preserve">State Laws</t>
  </si>
  <si>
    <t xml:space="preserve">/resources/state-laws</t>
  </si>
  <si>
    <t xml:space="preserve">Entire page: "Cannabis Laws and Compliance" database (Updated for 2024)</t>
  </si>
  <si>
    <t xml:space="preserve">Retire, or move to a separate resource site</t>
  </si>
  <si>
    <t xml:space="preserve">Largest remaining cannabis-specific page.</t>
  </si>
  <si>
    <t xml:space="preserve">Several statuses look out of date, e.g. Ohio, Delaware and Missouri shown as "Medical only"; New Hampshire and South Dakota shown as "Both Medical and Adult-Use"</t>
  </si>
  <si>
    <t xml:space="preserve">If any version stays, re-verify every state and Canadian province and add a "not legal advice" disclaimer</t>
  </si>
  <si>
    <t xml:space="preserve">Wrong legal information is a liability.</t>
  </si>
  <si>
    <t xml:space="preserve">"100% Compliance" stat</t>
  </si>
  <si>
    <t xml:space="preserve">CTA "Get Expert Consultation / Download Compliance Guides"</t>
  </si>
  <si>
    <t xml:space="preserve">Remove or repoint</t>
  </si>
  <si>
    <t xml:space="preserve">SOPs</t>
  </si>
  <si>
    <t xml:space="preserve">/resources/sops</t>
  </si>
  <si>
    <t xml:space="preserve">Guide hub is generic, but sub-pages (/sops/all, /sops/checklists) and each guide were not reviewed</t>
  </si>
  <si>
    <t xml:space="preserve">Review every guide for cannabis-specific content</t>
  </si>
  <si>
    <t xml:space="preserve">Blog</t>
  </si>
  <si>
    <t xml:space="preserve">/blog</t>
  </si>
  <si>
    <t xml:space="preserve">Post: "Introducing Bleaum Pay: The Smarter Way to Process Cannabis Payments"</t>
  </si>
  <si>
    <t xml:space="preserve">Rewrite or unpublish; review with your payments attorney first</t>
  </si>
  <si>
    <t xml:space="preserve">Post: "Streamlining Last-Mile Delivery..." (summary says it optimizes cannabis delivery)</t>
  </si>
  <si>
    <t xml:space="preserve">Rewrite summary and body</t>
  </si>
  <si>
    <t xml:space="preserve">Post titles: "Elevate Your retail shop Operations...", "...Solution for retailers"</t>
  </si>
  <si>
    <t xml:space="preserve">Fix capitalization ("Elevate Your Retail Operations")</t>
  </si>
  <si>
    <t xml:space="preserve">Page heading "The latest blogs of this product"</t>
  </si>
  <si>
    <t xml:space="preserve">"Latest from Bleaum"</t>
  </si>
  <si>
    <t xml:space="preserve">All 5 post bodies were not reviewed</t>
  </si>
  <si>
    <t xml:space="preserve">Read each post and add them to this sheet</t>
  </si>
  <si>
    <t xml:space="preserve">Top nav</t>
  </si>
  <si>
    <t xml:space="preserve">/product</t>
  </si>
  <si>
    <t xml:space="preserve">/product returns 404 (top nav link)</t>
  </si>
  <si>
    <t xml:space="preserve">Create the page or repoint the link</t>
  </si>
  <si>
    <t xml:space="preserve">Duplicate of the nav row above; fix once.</t>
  </si>
  <si>
    <t xml:space="preserve">Website update summary</t>
  </si>
  <si>
    <t xml:space="preserve">By type</t>
  </si>
  <si>
    <t xml:space="preserve">Total</t>
  </si>
  <si>
    <t xml:space="preserve">In progress</t>
  </si>
  <si>
    <t xml:space="preserve">Done</t>
  </si>
  <si>
    <t xml:space="preserve">Skipped</t>
  </si>
  <si>
    <t xml:space="preserve">By priority</t>
  </si>
  <si>
    <t xml:space="preserve">Counts update automatically from the Type, Priority and Status columns on the Find &amp; Replace tab.</t>
  </si>
  <si>
    <t xml:space="preserve">Page / area</t>
  </si>
  <si>
    <t xml:space="preserve">Why it still needs review</t>
  </si>
  <si>
    <t xml:space="preserve">/resources (Resources hub)</t>
  </si>
  <si>
    <t xml:space="preserve">Not fetched.</t>
  </si>
  <si>
    <t xml:space="preserve">/company (Company hub)</t>
  </si>
  <si>
    <t xml:space="preserve">/contact</t>
  </si>
  <si>
    <t xml:space="preserve">Linked from Integrations page; confirm it exists.</t>
  </si>
  <si>
    <t xml:space="preserve">/terms, /privacy, /cookies</t>
  </si>
  <si>
    <t xml:space="preserve">Legal pages: have counsel review any wording changes, including references to industries served and data handling.</t>
  </si>
  <si>
    <t xml:space="preserve">Blog posts: /blog/bleaum-delivery-solution, /bleaum-ecommerce-mobile, /bleaum-inventory-management, /bleaum-pay, /bleaum-pos-system</t>
  </si>
  <si>
    <t xml:space="preserve">Only the blog index was read; the post bodies need review.</t>
  </si>
  <si>
    <t xml:space="preserve">SOP guides: /resources/sops/all, /resources/sops/checklists and each guide</t>
  </si>
  <si>
    <t xml:space="preserve">Only the hub was read.</t>
  </si>
  <si>
    <t xml:space="preserve">Images and video (hero, screenshots, demo video, logos)</t>
  </si>
  <si>
    <t xml:space="preserve">Check for cannabis products, packaging, signage and brand names in screenshots and alt text.</t>
  </si>
  <si>
    <t xml:space="preserve">App store listings, Google Play listing, social profiles, Crunchbase and press</t>
  </si>
  <si>
    <t xml:space="preserve">Outside the website, but they describe the same company; keep them consistent.</t>
  </si>
  <si>
    <t xml:space="preserve">How to use</t>
  </si>
  <si>
    <t xml:space="preserve">Work down the Find &amp; Replace tab. Filter by Page, Type or Priority and set Status as you go.</t>
  </si>
  <si>
    <t xml:space="preserve">Straight text swap.</t>
  </si>
  <si>
    <t xml:space="preserve">Spelling, grammar or capitalization fix.</t>
  </si>
  <si>
    <t xml:space="preserve">Needs a business choice before changing.</t>
  </si>
  <si>
    <t xml:space="preserve">A number, claim or permission that must be backed by records before it stays on the site.</t>
  </si>
  <si>
    <t xml:space="preserve">Have counsel, a payments attorney or your processor review before changing or promoting.</t>
  </si>
  <si>
    <t xml:space="preserve">No change needed.</t>
  </si>
  <si>
    <t xml:space="preserve">Developer fix: titles, meta tags, links, redirects, forms.</t>
  </si>
  <si>
    <t xml:space="preserve">High = visible cannabis wording, risky claims, or broken pages. Medium = consistency and accuracy. Low = polish.</t>
  </si>
  <si>
    <t xml:space="preserve">Source</t>
  </si>
  <si>
    <t xml:space="preserve">Live pages read in this conversation on bleaum.io: Home, Point of Sale, Ecommerce, Marketing, Payments, Delivery, Reporting, Compliance, Inventory, Integrations, Industries, About, Support, Careers, Demo, Refer, State Laws, SOPs and Blog index. /product returned a 404.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</si>
</sst>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A1E4C"/>
        <bgColor rgb="FF333333"/>
      </patternFill>
    </fill>
    <fill>
      <patternFill patternType="solid">
        <fgColor rgb="FFEAF1FF"/>
        <bgColor rgb="FFEEF1F6"/>
      </patternFill>
    </fill>
    <fill>
      <patternFill patternType="solid">
        <fgColor rgb="FFFDE8E8"/>
        <bgColor rgb="FFFFF4E0"/>
      </patternFill>
    </fill>
    <fill>
      <patternFill patternType="solid">
        <fgColor rgb="FFFFF4E0"/>
        <bgColor rgb="FFFDE8E8"/>
      </patternFill>
    </fill>
    <fill>
      <patternFill patternType="solid">
        <fgColor rgb="FFEEF1F6"/>
        <bgColor rgb="FFEAF1FF"/>
      </patternFill>
    </fill>
    <fill>
      <patternFill patternType="solid">
        <fgColor rgb="FFE8F6EC"/>
        <bgColor rgb="FFEEF1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6"/>
      </left>
      <right style="thin">
        <color rgb="FFD0D7E6"/>
      </right>
      <top style="thin">
        <color rgb="FFD0D7E6"/>
      </top>
      <bottom style="thin">
        <color rgb="FFD0D7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A1E4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6EC"/>
          <bgColor rgb="FF000000"/>
        </patternFill>
      </fill>
    </dxf>
    <dxf>
      <fill>
        <patternFill patternType="solid">
          <fgColor rgb="FFEAF1FF"/>
          <bgColor rgb="FF000000"/>
        </patternFill>
      </fill>
    </dxf>
    <dxf>
      <fill>
        <patternFill patternType="solid">
          <fgColor rgb="FFFDE8E8"/>
          <bgColor rgb="FF000000"/>
        </patternFill>
      </fill>
    </dxf>
    <dxf>
      <fill>
        <patternFill patternType="solid">
          <fgColor rgb="FFFFF4E0"/>
          <bgColor rgb="FF000000"/>
        </patternFill>
      </fill>
    </dxf>
    <dxf>
      <fill>
        <patternFill patternType="solid">
          <fgColor rgb="FFEEF1F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0"/>
      <rgbColor rgb="FFE8F6EC"/>
      <rgbColor rgb="FF660066"/>
      <rgbColor rgb="FFFF8080"/>
      <rgbColor rgb="FF0066CC"/>
      <rgbColor rgb="FFD0D7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F"/>
      <rgbColor rgb="FFEEF1F6"/>
      <rgbColor rgb="FFFD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1E4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5" min="4" style="0" width="52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4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3" t="s">
        <v>9</v>
      </c>
      <c r="C2" s="2" t="s">
        <v>10</v>
      </c>
      <c r="D2" s="2" t="s">
        <v>11</v>
      </c>
      <c r="E2" s="2" t="s">
        <v>12</v>
      </c>
      <c r="F2" s="4" t="s">
        <v>13</v>
      </c>
      <c r="G2" s="5" t="s">
        <v>14</v>
      </c>
      <c r="H2" s="2" t="s">
        <v>15</v>
      </c>
      <c r="I2" s="2" t="s">
        <v>16</v>
      </c>
    </row>
    <row r="3" customFormat="false" ht="15" hidden="false" customHeight="false" outlineLevel="0" collapsed="false">
      <c r="A3" s="2" t="n">
        <v>2</v>
      </c>
      <c r="B3" s="3" t="s">
        <v>9</v>
      </c>
      <c r="C3" s="2" t="s">
        <v>10</v>
      </c>
      <c r="D3" s="2" t="s">
        <v>17</v>
      </c>
      <c r="E3" s="2" t="s">
        <v>18</v>
      </c>
      <c r="F3" s="4" t="s">
        <v>13</v>
      </c>
      <c r="G3" s="5" t="s">
        <v>14</v>
      </c>
      <c r="H3" s="2" t="s">
        <v>15</v>
      </c>
      <c r="I3" s="2" t="s">
        <v>19</v>
      </c>
    </row>
    <row r="4" customFormat="false" ht="23.85" hidden="false" customHeight="false" outlineLevel="0" collapsed="false">
      <c r="A4" s="2" t="n">
        <v>3</v>
      </c>
      <c r="B4" s="3" t="s">
        <v>9</v>
      </c>
      <c r="C4" s="2" t="s">
        <v>10</v>
      </c>
      <c r="D4" s="2" t="s">
        <v>20</v>
      </c>
      <c r="E4" s="2" t="s">
        <v>21</v>
      </c>
      <c r="F4" s="4" t="s">
        <v>13</v>
      </c>
      <c r="G4" s="5" t="s">
        <v>14</v>
      </c>
      <c r="H4" s="2" t="s">
        <v>15</v>
      </c>
      <c r="I4" s="2" t="s">
        <v>22</v>
      </c>
    </row>
    <row r="5" customFormat="false" ht="15" hidden="false" customHeight="false" outlineLevel="0" collapsed="false">
      <c r="A5" s="2" t="n">
        <v>4</v>
      </c>
      <c r="B5" s="3" t="s">
        <v>9</v>
      </c>
      <c r="C5" s="2" t="s">
        <v>10</v>
      </c>
      <c r="D5" s="2" t="s">
        <v>23</v>
      </c>
      <c r="E5" s="2" t="s">
        <v>24</v>
      </c>
      <c r="F5" s="4" t="s">
        <v>13</v>
      </c>
      <c r="G5" s="5" t="s">
        <v>14</v>
      </c>
      <c r="H5" s="2" t="s">
        <v>15</v>
      </c>
      <c r="I5" s="2"/>
    </row>
    <row r="6" customFormat="false" ht="15" hidden="false" customHeight="false" outlineLevel="0" collapsed="false">
      <c r="A6" s="2" t="n">
        <v>5</v>
      </c>
      <c r="B6" s="3" t="s">
        <v>9</v>
      </c>
      <c r="C6" s="2" t="s">
        <v>10</v>
      </c>
      <c r="D6" s="2" t="s">
        <v>25</v>
      </c>
      <c r="E6" s="2" t="s">
        <v>26</v>
      </c>
      <c r="F6" s="4" t="s">
        <v>13</v>
      </c>
      <c r="G6" s="6" t="s">
        <v>27</v>
      </c>
      <c r="H6" s="2" t="s">
        <v>15</v>
      </c>
      <c r="I6" s="2"/>
    </row>
    <row r="7" customFormat="false" ht="23.85" hidden="false" customHeight="false" outlineLevel="0" collapsed="false">
      <c r="A7" s="2" t="n">
        <v>6</v>
      </c>
      <c r="B7" s="3" t="s">
        <v>9</v>
      </c>
      <c r="C7" s="2" t="s">
        <v>10</v>
      </c>
      <c r="D7" s="2" t="s">
        <v>28</v>
      </c>
      <c r="E7" s="2" t="s">
        <v>29</v>
      </c>
      <c r="F7" s="4" t="s">
        <v>13</v>
      </c>
      <c r="G7" s="5" t="s">
        <v>14</v>
      </c>
      <c r="H7" s="2" t="s">
        <v>15</v>
      </c>
      <c r="I7" s="2" t="s">
        <v>30</v>
      </c>
    </row>
    <row r="8" customFormat="false" ht="23.85" hidden="false" customHeight="false" outlineLevel="0" collapsed="false">
      <c r="A8" s="2" t="n">
        <v>7</v>
      </c>
      <c r="B8" s="3" t="s">
        <v>9</v>
      </c>
      <c r="C8" s="2" t="s">
        <v>10</v>
      </c>
      <c r="D8" s="2" t="s">
        <v>31</v>
      </c>
      <c r="E8" s="2" t="s">
        <v>32</v>
      </c>
      <c r="F8" s="4" t="s">
        <v>33</v>
      </c>
      <c r="G8" s="6" t="s">
        <v>27</v>
      </c>
      <c r="H8" s="2" t="s">
        <v>15</v>
      </c>
      <c r="I8" s="2" t="s">
        <v>34</v>
      </c>
    </row>
    <row r="9" customFormat="false" ht="15" hidden="false" customHeight="false" outlineLevel="0" collapsed="false">
      <c r="A9" s="2" t="n">
        <v>8</v>
      </c>
      <c r="B9" s="3" t="s">
        <v>9</v>
      </c>
      <c r="C9" s="2" t="s">
        <v>10</v>
      </c>
      <c r="D9" s="2" t="s">
        <v>35</v>
      </c>
      <c r="E9" s="2" t="s">
        <v>36</v>
      </c>
      <c r="F9" s="6" t="s">
        <v>37</v>
      </c>
      <c r="G9" s="5" t="s">
        <v>14</v>
      </c>
      <c r="H9" s="2" t="s">
        <v>15</v>
      </c>
      <c r="I9" s="2" t="s">
        <v>38</v>
      </c>
    </row>
    <row r="10" customFormat="false" ht="23.85" hidden="false" customHeight="false" outlineLevel="0" collapsed="false">
      <c r="A10" s="2" t="n">
        <v>9</v>
      </c>
      <c r="B10" s="3" t="s">
        <v>9</v>
      </c>
      <c r="C10" s="2" t="s">
        <v>10</v>
      </c>
      <c r="D10" s="2" t="s">
        <v>39</v>
      </c>
      <c r="E10" s="2" t="s">
        <v>40</v>
      </c>
      <c r="F10" s="4" t="s">
        <v>41</v>
      </c>
      <c r="G10" s="5" t="s">
        <v>14</v>
      </c>
      <c r="H10" s="2" t="s">
        <v>15</v>
      </c>
      <c r="I10" s="2" t="s">
        <v>42</v>
      </c>
    </row>
    <row r="11" customFormat="false" ht="15" hidden="false" customHeight="false" outlineLevel="0" collapsed="false">
      <c r="A11" s="2" t="n">
        <v>10</v>
      </c>
      <c r="B11" s="3" t="s">
        <v>9</v>
      </c>
      <c r="C11" s="2" t="s">
        <v>10</v>
      </c>
      <c r="D11" s="2" t="s">
        <v>43</v>
      </c>
      <c r="E11" s="2" t="s">
        <v>44</v>
      </c>
      <c r="F11" s="4" t="s">
        <v>41</v>
      </c>
      <c r="G11" s="5" t="s">
        <v>14</v>
      </c>
      <c r="H11" s="2" t="s">
        <v>15</v>
      </c>
      <c r="I11" s="2" t="s">
        <v>45</v>
      </c>
    </row>
    <row r="12" customFormat="false" ht="35.05" hidden="false" customHeight="false" outlineLevel="0" collapsed="false">
      <c r="A12" s="2" t="n">
        <v>11</v>
      </c>
      <c r="B12" s="3" t="s">
        <v>9</v>
      </c>
      <c r="C12" s="2" t="s">
        <v>10</v>
      </c>
      <c r="D12" s="2" t="s">
        <v>46</v>
      </c>
      <c r="E12" s="2" t="s">
        <v>47</v>
      </c>
      <c r="F12" s="4" t="s">
        <v>41</v>
      </c>
      <c r="G12" s="5" t="s">
        <v>14</v>
      </c>
      <c r="H12" s="2" t="s">
        <v>15</v>
      </c>
      <c r="I12" s="2"/>
    </row>
    <row r="13" customFormat="false" ht="23.85" hidden="false" customHeight="false" outlineLevel="0" collapsed="false">
      <c r="A13" s="2" t="n">
        <v>12</v>
      </c>
      <c r="B13" s="3" t="s">
        <v>9</v>
      </c>
      <c r="C13" s="2" t="s">
        <v>10</v>
      </c>
      <c r="D13" s="2" t="s">
        <v>48</v>
      </c>
      <c r="E13" s="2" t="s">
        <v>49</v>
      </c>
      <c r="F13" s="4" t="s">
        <v>41</v>
      </c>
      <c r="G13" s="5" t="s">
        <v>14</v>
      </c>
      <c r="H13" s="2" t="s">
        <v>15</v>
      </c>
      <c r="I13" s="2" t="s">
        <v>50</v>
      </c>
    </row>
    <row r="14" customFormat="false" ht="15" hidden="false" customHeight="false" outlineLevel="0" collapsed="false">
      <c r="A14" s="2" t="n">
        <v>13</v>
      </c>
      <c r="B14" s="3" t="s">
        <v>9</v>
      </c>
      <c r="C14" s="2" t="s">
        <v>10</v>
      </c>
      <c r="D14" s="2" t="s">
        <v>51</v>
      </c>
      <c r="E14" s="2" t="s">
        <v>52</v>
      </c>
      <c r="F14" s="4" t="s">
        <v>13</v>
      </c>
      <c r="G14" s="7" t="s">
        <v>53</v>
      </c>
      <c r="H14" s="2" t="s">
        <v>15</v>
      </c>
      <c r="I14" s="2"/>
    </row>
    <row r="15" customFormat="false" ht="23.85" hidden="false" customHeight="false" outlineLevel="0" collapsed="false">
      <c r="A15" s="2" t="n">
        <v>14</v>
      </c>
      <c r="B15" s="3" t="s">
        <v>9</v>
      </c>
      <c r="C15" s="2" t="s">
        <v>10</v>
      </c>
      <c r="D15" s="2" t="s">
        <v>54</v>
      </c>
      <c r="E15" s="2" t="s">
        <v>55</v>
      </c>
      <c r="F15" s="4" t="s">
        <v>13</v>
      </c>
      <c r="G15" s="6" t="s">
        <v>27</v>
      </c>
      <c r="H15" s="2" t="s">
        <v>15</v>
      </c>
      <c r="I15" s="2"/>
    </row>
    <row r="16" customFormat="false" ht="35.05" hidden="false" customHeight="false" outlineLevel="0" collapsed="false">
      <c r="A16" s="2" t="n">
        <v>15</v>
      </c>
      <c r="B16" s="3" t="s">
        <v>9</v>
      </c>
      <c r="C16" s="2" t="s">
        <v>10</v>
      </c>
      <c r="D16" s="2" t="s">
        <v>56</v>
      </c>
      <c r="E16" s="2" t="s">
        <v>57</v>
      </c>
      <c r="F16" s="6" t="s">
        <v>58</v>
      </c>
      <c r="G16" s="5" t="s">
        <v>14</v>
      </c>
      <c r="H16" s="2" t="s">
        <v>15</v>
      </c>
      <c r="I16" s="2" t="s">
        <v>59</v>
      </c>
    </row>
    <row r="17" customFormat="false" ht="23.85" hidden="false" customHeight="false" outlineLevel="0" collapsed="false">
      <c r="A17" s="2" t="n">
        <v>16</v>
      </c>
      <c r="B17" s="3" t="s">
        <v>9</v>
      </c>
      <c r="C17" s="2" t="s">
        <v>10</v>
      </c>
      <c r="D17" s="2" t="s">
        <v>60</v>
      </c>
      <c r="E17" s="2" t="s">
        <v>61</v>
      </c>
      <c r="F17" s="6" t="s">
        <v>58</v>
      </c>
      <c r="G17" s="5" t="s">
        <v>14</v>
      </c>
      <c r="H17" s="2" t="s">
        <v>15</v>
      </c>
      <c r="I17" s="2"/>
    </row>
    <row r="18" customFormat="false" ht="23.85" hidden="false" customHeight="false" outlineLevel="0" collapsed="false">
      <c r="A18" s="2" t="n">
        <v>17</v>
      </c>
      <c r="B18" s="3" t="s">
        <v>9</v>
      </c>
      <c r="C18" s="2" t="s">
        <v>10</v>
      </c>
      <c r="D18" s="2" t="s">
        <v>62</v>
      </c>
      <c r="E18" s="2" t="s">
        <v>63</v>
      </c>
      <c r="F18" s="6" t="s">
        <v>58</v>
      </c>
      <c r="G18" s="5" t="s">
        <v>14</v>
      </c>
      <c r="H18" s="2" t="s">
        <v>15</v>
      </c>
      <c r="I18" s="2" t="s">
        <v>64</v>
      </c>
    </row>
    <row r="19" customFormat="false" ht="23.85" hidden="false" customHeight="false" outlineLevel="0" collapsed="false">
      <c r="A19" s="2" t="n">
        <v>18</v>
      </c>
      <c r="B19" s="3" t="s">
        <v>9</v>
      </c>
      <c r="C19" s="2" t="s">
        <v>10</v>
      </c>
      <c r="D19" s="2" t="s">
        <v>65</v>
      </c>
      <c r="E19" s="2" t="s">
        <v>66</v>
      </c>
      <c r="F19" s="4" t="s">
        <v>41</v>
      </c>
      <c r="G19" s="6" t="s">
        <v>27</v>
      </c>
      <c r="H19" s="2" t="s">
        <v>15</v>
      </c>
      <c r="I19" s="2" t="s">
        <v>67</v>
      </c>
    </row>
    <row r="20" customFormat="false" ht="23.85" hidden="false" customHeight="false" outlineLevel="0" collapsed="false">
      <c r="A20" s="2" t="n">
        <v>19</v>
      </c>
      <c r="B20" s="3" t="s">
        <v>68</v>
      </c>
      <c r="C20" s="2" t="s">
        <v>69</v>
      </c>
      <c r="D20" s="2" t="s">
        <v>70</v>
      </c>
      <c r="E20" s="2" t="s">
        <v>71</v>
      </c>
      <c r="F20" s="6" t="s">
        <v>37</v>
      </c>
      <c r="G20" s="6" t="s">
        <v>27</v>
      </c>
      <c r="H20" s="2" t="s">
        <v>15</v>
      </c>
      <c r="I20" s="2" t="s">
        <v>72</v>
      </c>
    </row>
    <row r="21" customFormat="false" ht="23.85" hidden="false" customHeight="false" outlineLevel="0" collapsed="false">
      <c r="A21" s="2" t="n">
        <v>20</v>
      </c>
      <c r="B21" s="3" t="s">
        <v>68</v>
      </c>
      <c r="C21" s="2" t="s">
        <v>69</v>
      </c>
      <c r="D21" s="2" t="s">
        <v>73</v>
      </c>
      <c r="E21" s="2" t="s">
        <v>74</v>
      </c>
      <c r="F21" s="4" t="s">
        <v>13</v>
      </c>
      <c r="G21" s="5" t="s">
        <v>14</v>
      </c>
      <c r="H21" s="2" t="s">
        <v>15</v>
      </c>
      <c r="I21" s="2" t="s">
        <v>75</v>
      </c>
    </row>
    <row r="22" customFormat="false" ht="23.85" hidden="false" customHeight="false" outlineLevel="0" collapsed="false">
      <c r="A22" s="2" t="n">
        <v>21</v>
      </c>
      <c r="B22" s="3" t="s">
        <v>68</v>
      </c>
      <c r="C22" s="2" t="s">
        <v>69</v>
      </c>
      <c r="D22" s="2" t="s">
        <v>76</v>
      </c>
      <c r="E22" s="2" t="s">
        <v>77</v>
      </c>
      <c r="F22" s="4" t="s">
        <v>13</v>
      </c>
      <c r="G22" s="7" t="s">
        <v>53</v>
      </c>
      <c r="H22" s="2" t="s">
        <v>15</v>
      </c>
      <c r="I22" s="2"/>
    </row>
    <row r="23" customFormat="false" ht="15" hidden="false" customHeight="false" outlineLevel="0" collapsed="false">
      <c r="A23" s="2" t="n">
        <v>22</v>
      </c>
      <c r="B23" s="3" t="s">
        <v>68</v>
      </c>
      <c r="C23" s="2" t="s">
        <v>69</v>
      </c>
      <c r="D23" s="2" t="s">
        <v>78</v>
      </c>
      <c r="E23" s="2" t="s">
        <v>79</v>
      </c>
      <c r="F23" s="4" t="s">
        <v>13</v>
      </c>
      <c r="G23" s="5" t="s">
        <v>14</v>
      </c>
      <c r="H23" s="2" t="s">
        <v>15</v>
      </c>
      <c r="I23" s="2"/>
    </row>
    <row r="24" customFormat="false" ht="15" hidden="false" customHeight="false" outlineLevel="0" collapsed="false">
      <c r="A24" s="2" t="n">
        <v>23</v>
      </c>
      <c r="B24" s="3" t="s">
        <v>68</v>
      </c>
      <c r="C24" s="2" t="s">
        <v>69</v>
      </c>
      <c r="D24" s="2" t="s">
        <v>80</v>
      </c>
      <c r="E24" s="2" t="s">
        <v>81</v>
      </c>
      <c r="F24" s="4" t="s">
        <v>13</v>
      </c>
      <c r="G24" s="5" t="s">
        <v>14</v>
      </c>
      <c r="H24" s="2" t="s">
        <v>15</v>
      </c>
      <c r="I24" s="2"/>
    </row>
    <row r="25" customFormat="false" ht="23.85" hidden="false" customHeight="false" outlineLevel="0" collapsed="false">
      <c r="A25" s="2" t="n">
        <v>24</v>
      </c>
      <c r="B25" s="3" t="s">
        <v>68</v>
      </c>
      <c r="C25" s="2" t="s">
        <v>69</v>
      </c>
      <c r="D25" s="2" t="s">
        <v>82</v>
      </c>
      <c r="E25" s="2" t="s">
        <v>83</v>
      </c>
      <c r="F25" s="4" t="s">
        <v>13</v>
      </c>
      <c r="G25" s="5" t="s">
        <v>14</v>
      </c>
      <c r="H25" s="2" t="s">
        <v>15</v>
      </c>
      <c r="I25" s="2" t="s">
        <v>84</v>
      </c>
    </row>
    <row r="26" customFormat="false" ht="23.85" hidden="false" customHeight="false" outlineLevel="0" collapsed="false">
      <c r="A26" s="2" t="n">
        <v>25</v>
      </c>
      <c r="B26" s="3" t="s">
        <v>68</v>
      </c>
      <c r="C26" s="2" t="s">
        <v>69</v>
      </c>
      <c r="D26" s="2" t="s">
        <v>85</v>
      </c>
      <c r="E26" s="2" t="s">
        <v>86</v>
      </c>
      <c r="F26" s="6" t="s">
        <v>58</v>
      </c>
      <c r="G26" s="5" t="s">
        <v>14</v>
      </c>
      <c r="H26" s="2" t="s">
        <v>15</v>
      </c>
      <c r="I26" s="2"/>
    </row>
    <row r="27" customFormat="false" ht="23.85" hidden="false" customHeight="false" outlineLevel="0" collapsed="false">
      <c r="A27" s="2" t="n">
        <v>26</v>
      </c>
      <c r="B27" s="3" t="s">
        <v>68</v>
      </c>
      <c r="C27" s="2" t="s">
        <v>69</v>
      </c>
      <c r="D27" s="2" t="s">
        <v>87</v>
      </c>
      <c r="E27" s="2" t="s">
        <v>88</v>
      </c>
      <c r="F27" s="6" t="s">
        <v>58</v>
      </c>
      <c r="G27" s="5" t="s">
        <v>14</v>
      </c>
      <c r="H27" s="2" t="s">
        <v>15</v>
      </c>
      <c r="I27" s="2"/>
    </row>
    <row r="28" customFormat="false" ht="15" hidden="false" customHeight="false" outlineLevel="0" collapsed="false">
      <c r="A28" s="2" t="n">
        <v>27</v>
      </c>
      <c r="B28" s="3" t="s">
        <v>68</v>
      </c>
      <c r="C28" s="2" t="s">
        <v>69</v>
      </c>
      <c r="D28" s="2" t="s">
        <v>89</v>
      </c>
      <c r="E28" s="2" t="s">
        <v>90</v>
      </c>
      <c r="F28" s="4" t="s">
        <v>13</v>
      </c>
      <c r="G28" s="7" t="s">
        <v>53</v>
      </c>
      <c r="H28" s="2" t="s">
        <v>15</v>
      </c>
      <c r="I28" s="2"/>
    </row>
    <row r="29" customFormat="false" ht="23.85" hidden="false" customHeight="false" outlineLevel="0" collapsed="false">
      <c r="A29" s="2" t="n">
        <v>28</v>
      </c>
      <c r="B29" s="3" t="s">
        <v>68</v>
      </c>
      <c r="C29" s="2" t="s">
        <v>69</v>
      </c>
      <c r="D29" s="2" t="s">
        <v>91</v>
      </c>
      <c r="E29" s="2" t="s">
        <v>92</v>
      </c>
      <c r="F29" s="6" t="s">
        <v>58</v>
      </c>
      <c r="G29" s="6" t="s">
        <v>27</v>
      </c>
      <c r="H29" s="2" t="s">
        <v>15</v>
      </c>
      <c r="I29" s="2"/>
    </row>
    <row r="30" customFormat="false" ht="15" hidden="false" customHeight="false" outlineLevel="0" collapsed="false">
      <c r="A30" s="2" t="n">
        <v>29</v>
      </c>
      <c r="B30" s="3" t="s">
        <v>68</v>
      </c>
      <c r="C30" s="2" t="s">
        <v>69</v>
      </c>
      <c r="D30" s="2" t="s">
        <v>93</v>
      </c>
      <c r="E30" s="2" t="s">
        <v>94</v>
      </c>
      <c r="F30" s="6" t="s">
        <v>58</v>
      </c>
      <c r="G30" s="7" t="s">
        <v>53</v>
      </c>
      <c r="H30" s="2" t="s">
        <v>15</v>
      </c>
      <c r="I30" s="2"/>
    </row>
    <row r="31" customFormat="false" ht="23.85" hidden="false" customHeight="false" outlineLevel="0" collapsed="false">
      <c r="A31" s="2" t="n">
        <v>30</v>
      </c>
      <c r="B31" s="3" t="s">
        <v>68</v>
      </c>
      <c r="C31" s="2" t="s">
        <v>69</v>
      </c>
      <c r="D31" s="2" t="s">
        <v>95</v>
      </c>
      <c r="E31" s="2" t="s">
        <v>96</v>
      </c>
      <c r="F31" s="6" t="s">
        <v>58</v>
      </c>
      <c r="G31" s="5" t="s">
        <v>14</v>
      </c>
      <c r="H31" s="2" t="s">
        <v>15</v>
      </c>
      <c r="I31" s="2"/>
    </row>
    <row r="32" customFormat="false" ht="15" hidden="false" customHeight="false" outlineLevel="0" collapsed="false">
      <c r="A32" s="2" t="n">
        <v>31</v>
      </c>
      <c r="B32" s="3" t="s">
        <v>97</v>
      </c>
      <c r="C32" s="2" t="s">
        <v>98</v>
      </c>
      <c r="D32" s="2" t="s">
        <v>99</v>
      </c>
      <c r="E32" s="2" t="s">
        <v>100</v>
      </c>
      <c r="F32" s="4" t="s">
        <v>33</v>
      </c>
      <c r="G32" s="6" t="s">
        <v>27</v>
      </c>
      <c r="H32" s="2" t="s">
        <v>15</v>
      </c>
      <c r="I32" s="2"/>
    </row>
    <row r="33" customFormat="false" ht="15" hidden="false" customHeight="false" outlineLevel="0" collapsed="false">
      <c r="A33" s="2" t="n">
        <v>32</v>
      </c>
      <c r="B33" s="3" t="s">
        <v>97</v>
      </c>
      <c r="C33" s="2" t="s">
        <v>98</v>
      </c>
      <c r="D33" s="2" t="s">
        <v>101</v>
      </c>
      <c r="E33" s="2" t="s">
        <v>102</v>
      </c>
      <c r="F33" s="4" t="s">
        <v>13</v>
      </c>
      <c r="G33" s="5" t="s">
        <v>14</v>
      </c>
      <c r="H33" s="2" t="s">
        <v>15</v>
      </c>
      <c r="I33" s="2"/>
    </row>
    <row r="34" customFormat="false" ht="23.85" hidden="false" customHeight="false" outlineLevel="0" collapsed="false">
      <c r="A34" s="2" t="n">
        <v>33</v>
      </c>
      <c r="B34" s="3" t="s">
        <v>97</v>
      </c>
      <c r="C34" s="2" t="s">
        <v>98</v>
      </c>
      <c r="D34" s="2" t="s">
        <v>103</v>
      </c>
      <c r="E34" s="2" t="s">
        <v>104</v>
      </c>
      <c r="F34" s="4" t="s">
        <v>13</v>
      </c>
      <c r="G34" s="5" t="s">
        <v>14</v>
      </c>
      <c r="H34" s="2" t="s">
        <v>15</v>
      </c>
      <c r="I34" s="2"/>
    </row>
    <row r="35" customFormat="false" ht="15" hidden="false" customHeight="false" outlineLevel="0" collapsed="false">
      <c r="A35" s="2" t="n">
        <v>34</v>
      </c>
      <c r="B35" s="3" t="s">
        <v>97</v>
      </c>
      <c r="C35" s="2" t="s">
        <v>98</v>
      </c>
      <c r="D35" s="2" t="s">
        <v>105</v>
      </c>
      <c r="E35" s="2" t="s">
        <v>106</v>
      </c>
      <c r="F35" s="4" t="s">
        <v>33</v>
      </c>
      <c r="G35" s="6" t="s">
        <v>27</v>
      </c>
      <c r="H35" s="2" t="s">
        <v>15</v>
      </c>
      <c r="I35" s="2"/>
    </row>
    <row r="36" customFormat="false" ht="15" hidden="false" customHeight="false" outlineLevel="0" collapsed="false">
      <c r="A36" s="2" t="n">
        <v>35</v>
      </c>
      <c r="B36" s="3" t="s">
        <v>97</v>
      </c>
      <c r="C36" s="2" t="s">
        <v>98</v>
      </c>
      <c r="D36" s="2" t="s">
        <v>107</v>
      </c>
      <c r="E36" s="2" t="s">
        <v>108</v>
      </c>
      <c r="F36" s="4" t="s">
        <v>13</v>
      </c>
      <c r="G36" s="6" t="s">
        <v>27</v>
      </c>
      <c r="H36" s="2" t="s">
        <v>15</v>
      </c>
      <c r="I36" s="2"/>
    </row>
    <row r="37" customFormat="false" ht="23.85" hidden="false" customHeight="false" outlineLevel="0" collapsed="false">
      <c r="A37" s="2" t="n">
        <v>36</v>
      </c>
      <c r="B37" s="3" t="s">
        <v>97</v>
      </c>
      <c r="C37" s="2" t="s">
        <v>98</v>
      </c>
      <c r="D37" s="2" t="s">
        <v>109</v>
      </c>
      <c r="E37" s="2" t="s">
        <v>110</v>
      </c>
      <c r="F37" s="6" t="s">
        <v>58</v>
      </c>
      <c r="G37" s="5" t="s">
        <v>14</v>
      </c>
      <c r="H37" s="2" t="s">
        <v>15</v>
      </c>
      <c r="I37" s="2" t="s">
        <v>111</v>
      </c>
    </row>
    <row r="38" customFormat="false" ht="23.85" hidden="false" customHeight="false" outlineLevel="0" collapsed="false">
      <c r="A38" s="2" t="n">
        <v>37</v>
      </c>
      <c r="B38" s="3" t="s">
        <v>97</v>
      </c>
      <c r="C38" s="2" t="s">
        <v>98</v>
      </c>
      <c r="D38" s="2" t="s">
        <v>112</v>
      </c>
      <c r="E38" s="2" t="s">
        <v>113</v>
      </c>
      <c r="F38" s="6" t="s">
        <v>58</v>
      </c>
      <c r="G38" s="6" t="s">
        <v>27</v>
      </c>
      <c r="H38" s="2" t="s">
        <v>15</v>
      </c>
      <c r="I38" s="2"/>
    </row>
    <row r="39" customFormat="false" ht="15" hidden="false" customHeight="false" outlineLevel="0" collapsed="false">
      <c r="A39" s="2" t="n">
        <v>38</v>
      </c>
      <c r="B39" s="3" t="s">
        <v>97</v>
      </c>
      <c r="C39" s="2" t="s">
        <v>98</v>
      </c>
      <c r="D39" s="2" t="s">
        <v>114</v>
      </c>
      <c r="E39" s="2" t="s">
        <v>115</v>
      </c>
      <c r="F39" s="6" t="s">
        <v>58</v>
      </c>
      <c r="G39" s="6" t="s">
        <v>27</v>
      </c>
      <c r="H39" s="2" t="s">
        <v>15</v>
      </c>
      <c r="I39" s="2"/>
    </row>
    <row r="40" customFormat="false" ht="15" hidden="false" customHeight="false" outlineLevel="0" collapsed="false">
      <c r="A40" s="2" t="n">
        <v>39</v>
      </c>
      <c r="B40" s="3" t="s">
        <v>97</v>
      </c>
      <c r="C40" s="2" t="s">
        <v>98</v>
      </c>
      <c r="D40" s="2" t="s">
        <v>116</v>
      </c>
      <c r="E40" s="2" t="s">
        <v>117</v>
      </c>
      <c r="F40" s="4" t="s">
        <v>13</v>
      </c>
      <c r="G40" s="5" t="s">
        <v>14</v>
      </c>
      <c r="H40" s="2" t="s">
        <v>15</v>
      </c>
      <c r="I40" s="2"/>
    </row>
    <row r="41" customFormat="false" ht="15" hidden="false" customHeight="false" outlineLevel="0" collapsed="false">
      <c r="A41" s="2" t="n">
        <v>40</v>
      </c>
      <c r="B41" s="3" t="s">
        <v>118</v>
      </c>
      <c r="C41" s="2" t="s">
        <v>119</v>
      </c>
      <c r="D41" s="2" t="s">
        <v>120</v>
      </c>
      <c r="E41" s="2" t="s">
        <v>121</v>
      </c>
      <c r="F41" s="4" t="s">
        <v>13</v>
      </c>
      <c r="G41" s="5" t="s">
        <v>14</v>
      </c>
      <c r="H41" s="2" t="s">
        <v>15</v>
      </c>
      <c r="I41" s="2"/>
    </row>
    <row r="42" customFormat="false" ht="23.85" hidden="false" customHeight="false" outlineLevel="0" collapsed="false">
      <c r="A42" s="2" t="n">
        <v>41</v>
      </c>
      <c r="B42" s="3" t="s">
        <v>118</v>
      </c>
      <c r="C42" s="2" t="s">
        <v>119</v>
      </c>
      <c r="D42" s="2" t="s">
        <v>122</v>
      </c>
      <c r="E42" s="2" t="s">
        <v>123</v>
      </c>
      <c r="F42" s="4" t="s">
        <v>13</v>
      </c>
      <c r="G42" s="6" t="s">
        <v>27</v>
      </c>
      <c r="H42" s="2" t="s">
        <v>15</v>
      </c>
      <c r="I42" s="2" t="s">
        <v>124</v>
      </c>
    </row>
    <row r="43" customFormat="false" ht="23.85" hidden="false" customHeight="false" outlineLevel="0" collapsed="false">
      <c r="A43" s="2" t="n">
        <v>42</v>
      </c>
      <c r="B43" s="3" t="s">
        <v>118</v>
      </c>
      <c r="C43" s="2" t="s">
        <v>119</v>
      </c>
      <c r="D43" s="2" t="s">
        <v>125</v>
      </c>
      <c r="E43" s="2" t="s">
        <v>126</v>
      </c>
      <c r="F43" s="6" t="s">
        <v>37</v>
      </c>
      <c r="G43" s="5" t="s">
        <v>14</v>
      </c>
      <c r="H43" s="2" t="s">
        <v>15</v>
      </c>
      <c r="I43" s="2"/>
    </row>
    <row r="44" customFormat="false" ht="23.85" hidden="false" customHeight="false" outlineLevel="0" collapsed="false">
      <c r="A44" s="2" t="n">
        <v>43</v>
      </c>
      <c r="B44" s="3" t="s">
        <v>118</v>
      </c>
      <c r="C44" s="2" t="s">
        <v>119</v>
      </c>
      <c r="D44" s="2" t="s">
        <v>127</v>
      </c>
      <c r="E44" s="2" t="s">
        <v>110</v>
      </c>
      <c r="F44" s="6" t="s">
        <v>58</v>
      </c>
      <c r="G44" s="5" t="s">
        <v>14</v>
      </c>
      <c r="H44" s="2" t="s">
        <v>15</v>
      </c>
      <c r="I44" s="2"/>
    </row>
    <row r="45" customFormat="false" ht="23.85" hidden="false" customHeight="false" outlineLevel="0" collapsed="false">
      <c r="A45" s="2" t="n">
        <v>44</v>
      </c>
      <c r="B45" s="3" t="s">
        <v>118</v>
      </c>
      <c r="C45" s="2" t="s">
        <v>119</v>
      </c>
      <c r="D45" s="2" t="s">
        <v>128</v>
      </c>
      <c r="E45" s="2" t="s">
        <v>129</v>
      </c>
      <c r="F45" s="6" t="s">
        <v>58</v>
      </c>
      <c r="G45" s="6" t="s">
        <v>27</v>
      </c>
      <c r="H45" s="2" t="s">
        <v>15</v>
      </c>
      <c r="I45" s="2"/>
    </row>
    <row r="46" customFormat="false" ht="23.85" hidden="false" customHeight="false" outlineLevel="0" collapsed="false">
      <c r="A46" s="2" t="n">
        <v>45</v>
      </c>
      <c r="B46" s="3" t="s">
        <v>118</v>
      </c>
      <c r="C46" s="2" t="s">
        <v>119</v>
      </c>
      <c r="D46" s="2" t="s">
        <v>130</v>
      </c>
      <c r="E46" s="2" t="s">
        <v>131</v>
      </c>
      <c r="F46" s="4" t="s">
        <v>33</v>
      </c>
      <c r="G46" s="6" t="s">
        <v>27</v>
      </c>
      <c r="H46" s="2" t="s">
        <v>15</v>
      </c>
      <c r="I46" s="2" t="s">
        <v>132</v>
      </c>
    </row>
    <row r="47" customFormat="false" ht="15" hidden="false" customHeight="false" outlineLevel="0" collapsed="false">
      <c r="A47" s="2" t="n">
        <v>46</v>
      </c>
      <c r="B47" s="3" t="s">
        <v>118</v>
      </c>
      <c r="C47" s="2" t="s">
        <v>119</v>
      </c>
      <c r="D47" s="2" t="s">
        <v>133</v>
      </c>
      <c r="E47" s="2" t="s">
        <v>134</v>
      </c>
      <c r="F47" s="5" t="s">
        <v>135</v>
      </c>
      <c r="G47" s="7" t="s">
        <v>53</v>
      </c>
      <c r="H47" s="2" t="s">
        <v>15</v>
      </c>
      <c r="I47" s="2"/>
    </row>
    <row r="48" customFormat="false" ht="15" hidden="false" customHeight="false" outlineLevel="0" collapsed="false">
      <c r="A48" s="2" t="n">
        <v>47</v>
      </c>
      <c r="B48" s="3" t="s">
        <v>118</v>
      </c>
      <c r="C48" s="2" t="s">
        <v>119</v>
      </c>
      <c r="D48" s="2" t="s">
        <v>136</v>
      </c>
      <c r="E48" s="2" t="s">
        <v>137</v>
      </c>
      <c r="F48" s="8" t="s">
        <v>137</v>
      </c>
      <c r="G48" s="7" t="s">
        <v>53</v>
      </c>
      <c r="H48" s="2" t="s">
        <v>15</v>
      </c>
      <c r="I48" s="2" t="s">
        <v>138</v>
      </c>
    </row>
    <row r="49" customFormat="false" ht="23.85" hidden="false" customHeight="false" outlineLevel="0" collapsed="false">
      <c r="A49" s="2" t="n">
        <v>48</v>
      </c>
      <c r="B49" s="3" t="s">
        <v>139</v>
      </c>
      <c r="C49" s="2" t="s">
        <v>140</v>
      </c>
      <c r="D49" s="2" t="s">
        <v>141</v>
      </c>
      <c r="E49" s="2" t="s">
        <v>142</v>
      </c>
      <c r="F49" s="6" t="s">
        <v>58</v>
      </c>
      <c r="G49" s="6" t="s">
        <v>27</v>
      </c>
      <c r="H49" s="2" t="s">
        <v>15</v>
      </c>
      <c r="I49" s="2"/>
    </row>
    <row r="50" customFormat="false" ht="23.85" hidden="false" customHeight="false" outlineLevel="0" collapsed="false">
      <c r="A50" s="2" t="n">
        <v>49</v>
      </c>
      <c r="B50" s="3" t="s">
        <v>139</v>
      </c>
      <c r="C50" s="2" t="s">
        <v>140</v>
      </c>
      <c r="D50" s="2" t="s">
        <v>143</v>
      </c>
      <c r="E50" s="2" t="s">
        <v>110</v>
      </c>
      <c r="F50" s="6" t="s">
        <v>58</v>
      </c>
      <c r="G50" s="5" t="s">
        <v>14</v>
      </c>
      <c r="H50" s="2" t="s">
        <v>15</v>
      </c>
      <c r="I50" s="2"/>
    </row>
    <row r="51" customFormat="false" ht="15" hidden="false" customHeight="false" outlineLevel="0" collapsed="false">
      <c r="A51" s="2" t="n">
        <v>50</v>
      </c>
      <c r="B51" s="3" t="s">
        <v>139</v>
      </c>
      <c r="C51" s="2" t="s">
        <v>140</v>
      </c>
      <c r="D51" s="2" t="s">
        <v>144</v>
      </c>
      <c r="E51" s="2" t="s">
        <v>145</v>
      </c>
      <c r="F51" s="6" t="s">
        <v>58</v>
      </c>
      <c r="G51" s="6" t="s">
        <v>27</v>
      </c>
      <c r="H51" s="2" t="s">
        <v>15</v>
      </c>
      <c r="I51" s="2"/>
    </row>
    <row r="52" customFormat="false" ht="15" hidden="false" customHeight="false" outlineLevel="0" collapsed="false">
      <c r="A52" s="2" t="n">
        <v>51</v>
      </c>
      <c r="B52" s="3" t="s">
        <v>139</v>
      </c>
      <c r="C52" s="2" t="s">
        <v>140</v>
      </c>
      <c r="D52" s="2" t="s">
        <v>146</v>
      </c>
      <c r="E52" s="2" t="s">
        <v>147</v>
      </c>
      <c r="F52" s="4" t="s">
        <v>13</v>
      </c>
      <c r="G52" s="6" t="s">
        <v>27</v>
      </c>
      <c r="H52" s="2" t="s">
        <v>15</v>
      </c>
      <c r="I52" s="2"/>
    </row>
    <row r="53" customFormat="false" ht="15" hidden="false" customHeight="false" outlineLevel="0" collapsed="false">
      <c r="A53" s="2" t="n">
        <v>52</v>
      </c>
      <c r="B53" s="3" t="s">
        <v>139</v>
      </c>
      <c r="C53" s="2" t="s">
        <v>140</v>
      </c>
      <c r="D53" s="2" t="s">
        <v>148</v>
      </c>
      <c r="E53" s="2" t="s">
        <v>149</v>
      </c>
      <c r="F53" s="6" t="s">
        <v>58</v>
      </c>
      <c r="G53" s="6" t="s">
        <v>27</v>
      </c>
      <c r="H53" s="2" t="s">
        <v>15</v>
      </c>
      <c r="I53" s="2"/>
    </row>
    <row r="54" customFormat="false" ht="23.85" hidden="false" customHeight="false" outlineLevel="0" collapsed="false">
      <c r="A54" s="2" t="n">
        <v>53</v>
      </c>
      <c r="B54" s="3" t="s">
        <v>139</v>
      </c>
      <c r="C54" s="2" t="s">
        <v>140</v>
      </c>
      <c r="D54" s="2" t="s">
        <v>150</v>
      </c>
      <c r="E54" s="2" t="s">
        <v>151</v>
      </c>
      <c r="F54" s="5" t="s">
        <v>135</v>
      </c>
      <c r="G54" s="7" t="s">
        <v>53</v>
      </c>
      <c r="H54" s="2" t="s">
        <v>15</v>
      </c>
      <c r="I54" s="2"/>
    </row>
    <row r="55" customFormat="false" ht="23.85" hidden="false" customHeight="false" outlineLevel="0" collapsed="false">
      <c r="A55" s="2" t="n">
        <v>54</v>
      </c>
      <c r="B55" s="3" t="s">
        <v>152</v>
      </c>
      <c r="C55" s="2" t="s">
        <v>153</v>
      </c>
      <c r="D55" s="2" t="s">
        <v>154</v>
      </c>
      <c r="E55" s="2" t="s">
        <v>155</v>
      </c>
      <c r="F55" s="4" t="s">
        <v>13</v>
      </c>
      <c r="G55" s="5" t="s">
        <v>14</v>
      </c>
      <c r="H55" s="2" t="s">
        <v>15</v>
      </c>
      <c r="I55" s="2"/>
    </row>
    <row r="56" customFormat="false" ht="15" hidden="false" customHeight="false" outlineLevel="0" collapsed="false">
      <c r="A56" s="2" t="n">
        <v>55</v>
      </c>
      <c r="B56" s="3" t="s">
        <v>152</v>
      </c>
      <c r="C56" s="2" t="s">
        <v>153</v>
      </c>
      <c r="D56" s="2" t="s">
        <v>156</v>
      </c>
      <c r="E56" s="2" t="s">
        <v>157</v>
      </c>
      <c r="F56" s="4" t="s">
        <v>13</v>
      </c>
      <c r="G56" s="5" t="s">
        <v>14</v>
      </c>
      <c r="H56" s="2" t="s">
        <v>15</v>
      </c>
      <c r="I56" s="2"/>
    </row>
    <row r="57" customFormat="false" ht="35.05" hidden="false" customHeight="false" outlineLevel="0" collapsed="false">
      <c r="A57" s="2" t="n">
        <v>56</v>
      </c>
      <c r="B57" s="3" t="s">
        <v>152</v>
      </c>
      <c r="C57" s="2" t="s">
        <v>153</v>
      </c>
      <c r="D57" s="2" t="s">
        <v>158</v>
      </c>
      <c r="E57" s="2" t="s">
        <v>159</v>
      </c>
      <c r="F57" s="4" t="s">
        <v>13</v>
      </c>
      <c r="G57" s="5" t="s">
        <v>14</v>
      </c>
      <c r="H57" s="2" t="s">
        <v>15</v>
      </c>
      <c r="I57" s="2" t="s">
        <v>160</v>
      </c>
    </row>
    <row r="58" customFormat="false" ht="23.85" hidden="false" customHeight="false" outlineLevel="0" collapsed="false">
      <c r="A58" s="2" t="n">
        <v>57</v>
      </c>
      <c r="B58" s="3" t="s">
        <v>152</v>
      </c>
      <c r="C58" s="2" t="s">
        <v>153</v>
      </c>
      <c r="D58" s="2" t="s">
        <v>161</v>
      </c>
      <c r="E58" s="2" t="s">
        <v>162</v>
      </c>
      <c r="F58" s="5" t="s">
        <v>135</v>
      </c>
      <c r="G58" s="5" t="s">
        <v>14</v>
      </c>
      <c r="H58" s="2" t="s">
        <v>15</v>
      </c>
      <c r="I58" s="2" t="s">
        <v>163</v>
      </c>
    </row>
    <row r="59" customFormat="false" ht="23.85" hidden="false" customHeight="false" outlineLevel="0" collapsed="false">
      <c r="A59" s="2" t="n">
        <v>58</v>
      </c>
      <c r="B59" s="3" t="s">
        <v>152</v>
      </c>
      <c r="C59" s="2" t="s">
        <v>153</v>
      </c>
      <c r="D59" s="2" t="s">
        <v>164</v>
      </c>
      <c r="E59" s="2" t="s">
        <v>165</v>
      </c>
      <c r="F59" s="4" t="s">
        <v>13</v>
      </c>
      <c r="G59" s="5" t="s">
        <v>14</v>
      </c>
      <c r="H59" s="2" t="s">
        <v>15</v>
      </c>
      <c r="I59" s="2"/>
    </row>
    <row r="60" customFormat="false" ht="23.85" hidden="false" customHeight="false" outlineLevel="0" collapsed="false">
      <c r="A60" s="2" t="n">
        <v>59</v>
      </c>
      <c r="B60" s="3" t="s">
        <v>152</v>
      </c>
      <c r="C60" s="2" t="s">
        <v>153</v>
      </c>
      <c r="D60" s="2" t="s">
        <v>166</v>
      </c>
      <c r="E60" s="2" t="s">
        <v>167</v>
      </c>
      <c r="F60" s="4" t="s">
        <v>13</v>
      </c>
      <c r="G60" s="5" t="s">
        <v>14</v>
      </c>
      <c r="H60" s="2" t="s">
        <v>15</v>
      </c>
      <c r="I60" s="2"/>
    </row>
    <row r="61" customFormat="false" ht="23.85" hidden="false" customHeight="false" outlineLevel="0" collapsed="false">
      <c r="A61" s="2" t="n">
        <v>60</v>
      </c>
      <c r="B61" s="3" t="s">
        <v>152</v>
      </c>
      <c r="C61" s="2" t="s">
        <v>153</v>
      </c>
      <c r="D61" s="2" t="s">
        <v>168</v>
      </c>
      <c r="E61" s="2" t="s">
        <v>169</v>
      </c>
      <c r="F61" s="6" t="s">
        <v>58</v>
      </c>
      <c r="G61" s="5" t="s">
        <v>14</v>
      </c>
      <c r="H61" s="2" t="s">
        <v>15</v>
      </c>
      <c r="I61" s="2"/>
    </row>
    <row r="62" customFormat="false" ht="23.85" hidden="false" customHeight="false" outlineLevel="0" collapsed="false">
      <c r="A62" s="2" t="n">
        <v>61</v>
      </c>
      <c r="B62" s="3" t="s">
        <v>152</v>
      </c>
      <c r="C62" s="2" t="s">
        <v>153</v>
      </c>
      <c r="D62" s="2" t="s">
        <v>170</v>
      </c>
      <c r="E62" s="2" t="s">
        <v>171</v>
      </c>
      <c r="F62" s="6" t="s">
        <v>58</v>
      </c>
      <c r="G62" s="5" t="s">
        <v>14</v>
      </c>
      <c r="H62" s="2" t="s">
        <v>15</v>
      </c>
      <c r="I62" s="2"/>
    </row>
    <row r="63" customFormat="false" ht="15" hidden="false" customHeight="false" outlineLevel="0" collapsed="false">
      <c r="A63" s="2" t="n">
        <v>62</v>
      </c>
      <c r="B63" s="3" t="s">
        <v>152</v>
      </c>
      <c r="C63" s="2" t="s">
        <v>153</v>
      </c>
      <c r="D63" s="2" t="s">
        <v>172</v>
      </c>
      <c r="E63" s="2" t="s">
        <v>173</v>
      </c>
      <c r="F63" s="6" t="s">
        <v>58</v>
      </c>
      <c r="G63" s="6" t="s">
        <v>27</v>
      </c>
      <c r="H63" s="2" t="s">
        <v>15</v>
      </c>
      <c r="I63" s="2"/>
    </row>
    <row r="64" customFormat="false" ht="23.85" hidden="false" customHeight="false" outlineLevel="0" collapsed="false">
      <c r="A64" s="2" t="n">
        <v>63</v>
      </c>
      <c r="B64" s="3" t="s">
        <v>152</v>
      </c>
      <c r="C64" s="2" t="s">
        <v>153</v>
      </c>
      <c r="D64" s="2" t="s">
        <v>174</v>
      </c>
      <c r="E64" s="2" t="s">
        <v>175</v>
      </c>
      <c r="F64" s="6" t="s">
        <v>58</v>
      </c>
      <c r="G64" s="6" t="s">
        <v>27</v>
      </c>
      <c r="H64" s="2" t="s">
        <v>15</v>
      </c>
      <c r="I64" s="2"/>
    </row>
    <row r="65" customFormat="false" ht="15" hidden="false" customHeight="false" outlineLevel="0" collapsed="false">
      <c r="A65" s="2" t="n">
        <v>64</v>
      </c>
      <c r="B65" s="3" t="s">
        <v>176</v>
      </c>
      <c r="C65" s="2" t="s">
        <v>177</v>
      </c>
      <c r="D65" s="2" t="s">
        <v>178</v>
      </c>
      <c r="E65" s="2" t="s">
        <v>179</v>
      </c>
      <c r="F65" s="4" t="s">
        <v>13</v>
      </c>
      <c r="G65" s="6" t="s">
        <v>27</v>
      </c>
      <c r="H65" s="2" t="s">
        <v>15</v>
      </c>
      <c r="I65" s="2"/>
    </row>
    <row r="66" customFormat="false" ht="15" hidden="false" customHeight="false" outlineLevel="0" collapsed="false">
      <c r="A66" s="2" t="n">
        <v>65</v>
      </c>
      <c r="B66" s="3" t="s">
        <v>176</v>
      </c>
      <c r="C66" s="2" t="s">
        <v>177</v>
      </c>
      <c r="D66" s="2" t="s">
        <v>180</v>
      </c>
      <c r="E66" s="2" t="s">
        <v>181</v>
      </c>
      <c r="F66" s="4" t="s">
        <v>13</v>
      </c>
      <c r="G66" s="6" t="s">
        <v>27</v>
      </c>
      <c r="H66" s="2" t="s">
        <v>15</v>
      </c>
      <c r="I66" s="2"/>
    </row>
    <row r="67" customFormat="false" ht="15" hidden="false" customHeight="false" outlineLevel="0" collapsed="false">
      <c r="A67" s="2" t="n">
        <v>66</v>
      </c>
      <c r="B67" s="3" t="s">
        <v>176</v>
      </c>
      <c r="C67" s="2" t="s">
        <v>177</v>
      </c>
      <c r="D67" s="2" t="s">
        <v>182</v>
      </c>
      <c r="E67" s="2" t="s">
        <v>137</v>
      </c>
      <c r="F67" s="8" t="s">
        <v>137</v>
      </c>
      <c r="G67" s="7" t="s">
        <v>53</v>
      </c>
      <c r="H67" s="2" t="s">
        <v>15</v>
      </c>
      <c r="I67" s="2" t="s">
        <v>183</v>
      </c>
    </row>
    <row r="68" customFormat="false" ht="15" hidden="false" customHeight="false" outlineLevel="0" collapsed="false">
      <c r="A68" s="2" t="n">
        <v>67</v>
      </c>
      <c r="B68" s="3" t="s">
        <v>176</v>
      </c>
      <c r="C68" s="2" t="s">
        <v>177</v>
      </c>
      <c r="D68" s="2" t="s">
        <v>184</v>
      </c>
      <c r="E68" s="2" t="s">
        <v>137</v>
      </c>
      <c r="F68" s="8" t="s">
        <v>137</v>
      </c>
      <c r="G68" s="7" t="s">
        <v>53</v>
      </c>
      <c r="H68" s="2" t="s">
        <v>15</v>
      </c>
      <c r="I68" s="2"/>
    </row>
    <row r="69" customFormat="false" ht="23.85" hidden="false" customHeight="false" outlineLevel="0" collapsed="false">
      <c r="A69" s="2" t="n">
        <v>68</v>
      </c>
      <c r="B69" s="3" t="s">
        <v>185</v>
      </c>
      <c r="C69" s="2" t="s">
        <v>186</v>
      </c>
      <c r="D69" s="2" t="s">
        <v>187</v>
      </c>
      <c r="E69" s="2" t="s">
        <v>188</v>
      </c>
      <c r="F69" s="6" t="s">
        <v>58</v>
      </c>
      <c r="G69" s="6" t="s">
        <v>27</v>
      </c>
      <c r="H69" s="2" t="s">
        <v>15</v>
      </c>
      <c r="I69" s="2"/>
    </row>
    <row r="70" customFormat="false" ht="15" hidden="false" customHeight="false" outlineLevel="0" collapsed="false">
      <c r="A70" s="2" t="n">
        <v>69</v>
      </c>
      <c r="B70" s="3" t="s">
        <v>185</v>
      </c>
      <c r="C70" s="2" t="s">
        <v>186</v>
      </c>
      <c r="D70" s="2" t="s">
        <v>189</v>
      </c>
      <c r="E70" s="2" t="s">
        <v>190</v>
      </c>
      <c r="F70" s="4" t="s">
        <v>13</v>
      </c>
      <c r="G70" s="7" t="s">
        <v>53</v>
      </c>
      <c r="H70" s="2" t="s">
        <v>15</v>
      </c>
      <c r="I70" s="2"/>
    </row>
    <row r="71" customFormat="false" ht="23.85" hidden="false" customHeight="false" outlineLevel="0" collapsed="false">
      <c r="A71" s="2" t="n">
        <v>70</v>
      </c>
      <c r="B71" s="3" t="s">
        <v>185</v>
      </c>
      <c r="C71" s="2" t="s">
        <v>186</v>
      </c>
      <c r="D71" s="2" t="s">
        <v>191</v>
      </c>
      <c r="E71" s="2" t="s">
        <v>192</v>
      </c>
      <c r="F71" s="6" t="s">
        <v>58</v>
      </c>
      <c r="G71" s="5" t="s">
        <v>14</v>
      </c>
      <c r="H71" s="2" t="s">
        <v>15</v>
      </c>
      <c r="I71" s="2" t="s">
        <v>193</v>
      </c>
    </row>
    <row r="72" customFormat="false" ht="23.85" hidden="false" customHeight="false" outlineLevel="0" collapsed="false">
      <c r="A72" s="2" t="n">
        <v>71</v>
      </c>
      <c r="B72" s="3" t="s">
        <v>185</v>
      </c>
      <c r="C72" s="2" t="s">
        <v>186</v>
      </c>
      <c r="D72" s="2" t="s">
        <v>194</v>
      </c>
      <c r="E72" s="2" t="s">
        <v>58</v>
      </c>
      <c r="F72" s="6" t="s">
        <v>58</v>
      </c>
      <c r="G72" s="7" t="s">
        <v>53</v>
      </c>
      <c r="H72" s="2" t="s">
        <v>15</v>
      </c>
      <c r="I72" s="2"/>
    </row>
    <row r="73" customFormat="false" ht="23.85" hidden="false" customHeight="false" outlineLevel="0" collapsed="false">
      <c r="A73" s="2" t="n">
        <v>72</v>
      </c>
      <c r="B73" s="3" t="s">
        <v>195</v>
      </c>
      <c r="C73" s="2" t="s">
        <v>196</v>
      </c>
      <c r="D73" s="2" t="s">
        <v>197</v>
      </c>
      <c r="E73" s="2" t="s">
        <v>198</v>
      </c>
      <c r="F73" s="4" t="s">
        <v>13</v>
      </c>
      <c r="G73" s="5" t="s">
        <v>14</v>
      </c>
      <c r="H73" s="2" t="s">
        <v>15</v>
      </c>
      <c r="I73" s="2"/>
    </row>
    <row r="74" customFormat="false" ht="23.85" hidden="false" customHeight="false" outlineLevel="0" collapsed="false">
      <c r="A74" s="2" t="n">
        <v>73</v>
      </c>
      <c r="B74" s="3" t="s">
        <v>195</v>
      </c>
      <c r="C74" s="2" t="s">
        <v>196</v>
      </c>
      <c r="D74" s="2" t="s">
        <v>199</v>
      </c>
      <c r="E74" s="2" t="s">
        <v>200</v>
      </c>
      <c r="F74" s="4" t="s">
        <v>13</v>
      </c>
      <c r="G74" s="5" t="s">
        <v>14</v>
      </c>
      <c r="H74" s="2" t="s">
        <v>15</v>
      </c>
      <c r="I74" s="2"/>
    </row>
    <row r="75" customFormat="false" ht="23.85" hidden="false" customHeight="false" outlineLevel="0" collapsed="false">
      <c r="A75" s="2" t="n">
        <v>74</v>
      </c>
      <c r="B75" s="3" t="s">
        <v>195</v>
      </c>
      <c r="C75" s="2" t="s">
        <v>196</v>
      </c>
      <c r="D75" s="2" t="s">
        <v>201</v>
      </c>
      <c r="E75" s="2" t="s">
        <v>202</v>
      </c>
      <c r="F75" s="4" t="s">
        <v>13</v>
      </c>
      <c r="G75" s="5" t="s">
        <v>14</v>
      </c>
      <c r="H75" s="2" t="s">
        <v>15</v>
      </c>
      <c r="I75" s="2"/>
    </row>
    <row r="76" customFormat="false" ht="23.85" hidden="false" customHeight="false" outlineLevel="0" collapsed="false">
      <c r="A76" s="2" t="n">
        <v>75</v>
      </c>
      <c r="B76" s="3" t="s">
        <v>195</v>
      </c>
      <c r="C76" s="2" t="s">
        <v>196</v>
      </c>
      <c r="D76" s="2" t="s">
        <v>203</v>
      </c>
      <c r="E76" s="2" t="s">
        <v>204</v>
      </c>
      <c r="F76" s="4" t="s">
        <v>13</v>
      </c>
      <c r="G76" s="5" t="s">
        <v>14</v>
      </c>
      <c r="H76" s="2" t="s">
        <v>15</v>
      </c>
      <c r="I76" s="2"/>
    </row>
    <row r="77" customFormat="false" ht="23.85" hidden="false" customHeight="false" outlineLevel="0" collapsed="false">
      <c r="A77" s="2" t="n">
        <v>76</v>
      </c>
      <c r="B77" s="3" t="s">
        <v>195</v>
      </c>
      <c r="C77" s="2" t="s">
        <v>196</v>
      </c>
      <c r="D77" s="2" t="s">
        <v>205</v>
      </c>
      <c r="E77" s="2" t="s">
        <v>206</v>
      </c>
      <c r="F77" s="4" t="s">
        <v>13</v>
      </c>
      <c r="G77" s="5" t="s">
        <v>14</v>
      </c>
      <c r="H77" s="2" t="s">
        <v>15</v>
      </c>
      <c r="I77" s="2"/>
    </row>
    <row r="78" customFormat="false" ht="23.85" hidden="false" customHeight="false" outlineLevel="0" collapsed="false">
      <c r="A78" s="2" t="n">
        <v>77</v>
      </c>
      <c r="B78" s="3" t="s">
        <v>195</v>
      </c>
      <c r="C78" s="2" t="s">
        <v>196</v>
      </c>
      <c r="D78" s="2" t="s">
        <v>207</v>
      </c>
      <c r="E78" s="2" t="s">
        <v>208</v>
      </c>
      <c r="F78" s="6" t="s">
        <v>58</v>
      </c>
      <c r="G78" s="5" t="s">
        <v>14</v>
      </c>
      <c r="H78" s="2" t="s">
        <v>15</v>
      </c>
      <c r="I78" s="2"/>
    </row>
    <row r="79" customFormat="false" ht="23.85" hidden="false" customHeight="false" outlineLevel="0" collapsed="false">
      <c r="A79" s="2" t="n">
        <v>78</v>
      </c>
      <c r="B79" s="3" t="s">
        <v>195</v>
      </c>
      <c r="C79" s="2" t="s">
        <v>196</v>
      </c>
      <c r="D79" s="2" t="s">
        <v>209</v>
      </c>
      <c r="E79" s="2" t="s">
        <v>210</v>
      </c>
      <c r="F79" s="4" t="s">
        <v>13</v>
      </c>
      <c r="G79" s="6" t="s">
        <v>27</v>
      </c>
      <c r="H79" s="2" t="s">
        <v>15</v>
      </c>
      <c r="I79" s="2" t="s">
        <v>211</v>
      </c>
    </row>
    <row r="80" customFormat="false" ht="23.85" hidden="false" customHeight="false" outlineLevel="0" collapsed="false">
      <c r="A80" s="2" t="n">
        <v>79</v>
      </c>
      <c r="B80" s="3" t="s">
        <v>195</v>
      </c>
      <c r="C80" s="2" t="s">
        <v>196</v>
      </c>
      <c r="D80" s="2" t="s">
        <v>212</v>
      </c>
      <c r="E80" s="2" t="s">
        <v>213</v>
      </c>
      <c r="F80" s="4" t="s">
        <v>41</v>
      </c>
      <c r="G80" s="7" t="s">
        <v>53</v>
      </c>
      <c r="H80" s="2" t="s">
        <v>15</v>
      </c>
      <c r="I80" s="2" t="s">
        <v>214</v>
      </c>
    </row>
    <row r="81" customFormat="false" ht="23.85" hidden="false" customHeight="false" outlineLevel="0" collapsed="false">
      <c r="A81" s="2" t="n">
        <v>80</v>
      </c>
      <c r="B81" s="3" t="s">
        <v>195</v>
      </c>
      <c r="C81" s="2" t="s">
        <v>196</v>
      </c>
      <c r="D81" s="2" t="s">
        <v>215</v>
      </c>
      <c r="E81" s="2" t="s">
        <v>216</v>
      </c>
      <c r="F81" s="6" t="s">
        <v>37</v>
      </c>
      <c r="G81" s="7" t="s">
        <v>53</v>
      </c>
      <c r="H81" s="2" t="s">
        <v>15</v>
      </c>
      <c r="I81" s="2"/>
    </row>
    <row r="82" customFormat="false" ht="23.85" hidden="false" customHeight="false" outlineLevel="0" collapsed="false">
      <c r="A82" s="2" t="n">
        <v>81</v>
      </c>
      <c r="B82" s="3" t="s">
        <v>217</v>
      </c>
      <c r="C82" s="2" t="s">
        <v>218</v>
      </c>
      <c r="D82" s="2" t="s">
        <v>219</v>
      </c>
      <c r="E82" s="2" t="s">
        <v>220</v>
      </c>
      <c r="F82" s="4" t="s">
        <v>13</v>
      </c>
      <c r="G82" s="5" t="s">
        <v>14</v>
      </c>
      <c r="H82" s="2" t="s">
        <v>15</v>
      </c>
      <c r="I82" s="2"/>
    </row>
    <row r="83" customFormat="false" ht="23.85" hidden="false" customHeight="false" outlineLevel="0" collapsed="false">
      <c r="A83" s="2" t="n">
        <v>82</v>
      </c>
      <c r="B83" s="3" t="s">
        <v>217</v>
      </c>
      <c r="C83" s="2" t="s">
        <v>218</v>
      </c>
      <c r="D83" s="2" t="s">
        <v>221</v>
      </c>
      <c r="E83" s="2" t="s">
        <v>222</v>
      </c>
      <c r="F83" s="4" t="s">
        <v>13</v>
      </c>
      <c r="G83" s="5" t="s">
        <v>14</v>
      </c>
      <c r="H83" s="2" t="s">
        <v>15</v>
      </c>
      <c r="I83" s="2"/>
    </row>
    <row r="84" customFormat="false" ht="23.85" hidden="false" customHeight="false" outlineLevel="0" collapsed="false">
      <c r="A84" s="2" t="n">
        <v>83</v>
      </c>
      <c r="B84" s="3" t="s">
        <v>217</v>
      </c>
      <c r="C84" s="2" t="s">
        <v>218</v>
      </c>
      <c r="D84" s="2" t="s">
        <v>223</v>
      </c>
      <c r="E84" s="2" t="s">
        <v>224</v>
      </c>
      <c r="F84" s="4" t="s">
        <v>13</v>
      </c>
      <c r="G84" s="5" t="s">
        <v>14</v>
      </c>
      <c r="H84" s="2" t="s">
        <v>15</v>
      </c>
      <c r="I84" s="2"/>
    </row>
    <row r="85" customFormat="false" ht="23.85" hidden="false" customHeight="false" outlineLevel="0" collapsed="false">
      <c r="A85" s="2" t="n">
        <v>84</v>
      </c>
      <c r="B85" s="3" t="s">
        <v>217</v>
      </c>
      <c r="C85" s="2" t="s">
        <v>218</v>
      </c>
      <c r="D85" s="2" t="s">
        <v>225</v>
      </c>
      <c r="E85" s="2" t="s">
        <v>226</v>
      </c>
      <c r="F85" s="6" t="s">
        <v>58</v>
      </c>
      <c r="G85" s="5" t="s">
        <v>14</v>
      </c>
      <c r="H85" s="2" t="s">
        <v>15</v>
      </c>
      <c r="I85" s="2"/>
    </row>
    <row r="86" customFormat="false" ht="23.85" hidden="false" customHeight="false" outlineLevel="0" collapsed="false">
      <c r="A86" s="2" t="n">
        <v>85</v>
      </c>
      <c r="B86" s="3" t="s">
        <v>217</v>
      </c>
      <c r="C86" s="2" t="s">
        <v>218</v>
      </c>
      <c r="D86" s="2" t="s">
        <v>227</v>
      </c>
      <c r="E86" s="2" t="s">
        <v>228</v>
      </c>
      <c r="F86" s="6" t="s">
        <v>58</v>
      </c>
      <c r="G86" s="6" t="s">
        <v>27</v>
      </c>
      <c r="H86" s="2" t="s">
        <v>15</v>
      </c>
      <c r="I86" s="2"/>
    </row>
    <row r="87" customFormat="false" ht="23.85" hidden="false" customHeight="false" outlineLevel="0" collapsed="false">
      <c r="A87" s="2" t="n">
        <v>86</v>
      </c>
      <c r="B87" s="3" t="s">
        <v>217</v>
      </c>
      <c r="C87" s="2" t="s">
        <v>218</v>
      </c>
      <c r="D87" s="2" t="s">
        <v>229</v>
      </c>
      <c r="E87" s="2" t="s">
        <v>110</v>
      </c>
      <c r="F87" s="6" t="s">
        <v>58</v>
      </c>
      <c r="G87" s="6" t="s">
        <v>27</v>
      </c>
      <c r="H87" s="2" t="s">
        <v>15</v>
      </c>
      <c r="I87" s="2"/>
    </row>
    <row r="88" customFormat="false" ht="23.85" hidden="false" customHeight="false" outlineLevel="0" collapsed="false">
      <c r="A88" s="2" t="n">
        <v>87</v>
      </c>
      <c r="B88" s="3" t="s">
        <v>217</v>
      </c>
      <c r="C88" s="2" t="s">
        <v>218</v>
      </c>
      <c r="D88" s="2" t="s">
        <v>230</v>
      </c>
      <c r="E88" s="2" t="s">
        <v>231</v>
      </c>
      <c r="F88" s="4" t="s">
        <v>33</v>
      </c>
      <c r="G88" s="7" t="s">
        <v>53</v>
      </c>
      <c r="H88" s="2" t="s">
        <v>15</v>
      </c>
      <c r="I88" s="2"/>
    </row>
    <row r="89" customFormat="false" ht="23.85" hidden="false" customHeight="false" outlineLevel="0" collapsed="false">
      <c r="A89" s="2" t="n">
        <v>88</v>
      </c>
      <c r="B89" s="3" t="s">
        <v>217</v>
      </c>
      <c r="C89" s="2" t="s">
        <v>218</v>
      </c>
      <c r="D89" s="2" t="s">
        <v>232</v>
      </c>
      <c r="E89" s="2" t="s">
        <v>233</v>
      </c>
      <c r="F89" s="6" t="s">
        <v>58</v>
      </c>
      <c r="G89" s="7" t="s">
        <v>53</v>
      </c>
      <c r="H89" s="2" t="s">
        <v>15</v>
      </c>
      <c r="I89" s="2"/>
    </row>
    <row r="90" customFormat="false" ht="46.25" hidden="false" customHeight="false" outlineLevel="0" collapsed="false">
      <c r="A90" s="2" t="n">
        <v>89</v>
      </c>
      <c r="B90" s="3" t="s">
        <v>234</v>
      </c>
      <c r="C90" s="2" t="s">
        <v>235</v>
      </c>
      <c r="D90" s="2" t="s">
        <v>236</v>
      </c>
      <c r="E90" s="2" t="s">
        <v>237</v>
      </c>
      <c r="F90" s="6" t="s">
        <v>37</v>
      </c>
      <c r="G90" s="5" t="s">
        <v>14</v>
      </c>
      <c r="H90" s="2" t="s">
        <v>15</v>
      </c>
      <c r="I90" s="2" t="s">
        <v>238</v>
      </c>
    </row>
    <row r="91" customFormat="false" ht="23.85" hidden="false" customHeight="false" outlineLevel="0" collapsed="false">
      <c r="A91" s="2" t="n">
        <v>90</v>
      </c>
      <c r="B91" s="3" t="s">
        <v>234</v>
      </c>
      <c r="C91" s="2" t="s">
        <v>235</v>
      </c>
      <c r="D91" s="2" t="s">
        <v>239</v>
      </c>
      <c r="E91" s="2" t="s">
        <v>240</v>
      </c>
      <c r="F91" s="4" t="s">
        <v>13</v>
      </c>
      <c r="G91" s="5" t="s">
        <v>14</v>
      </c>
      <c r="H91" s="2" t="s">
        <v>15</v>
      </c>
      <c r="I91" s="2"/>
    </row>
    <row r="92" customFormat="false" ht="23.85" hidden="false" customHeight="false" outlineLevel="0" collapsed="false">
      <c r="A92" s="2" t="n">
        <v>91</v>
      </c>
      <c r="B92" s="3" t="s">
        <v>234</v>
      </c>
      <c r="C92" s="2" t="s">
        <v>235</v>
      </c>
      <c r="D92" s="2" t="s">
        <v>241</v>
      </c>
      <c r="E92" s="2" t="s">
        <v>242</v>
      </c>
      <c r="F92" s="6" t="s">
        <v>58</v>
      </c>
      <c r="G92" s="5" t="s">
        <v>14</v>
      </c>
      <c r="H92" s="2" t="s">
        <v>15</v>
      </c>
      <c r="I92" s="2" t="s">
        <v>243</v>
      </c>
    </row>
    <row r="93" customFormat="false" ht="23.85" hidden="false" customHeight="false" outlineLevel="0" collapsed="false">
      <c r="A93" s="2" t="n">
        <v>92</v>
      </c>
      <c r="B93" s="3" t="s">
        <v>234</v>
      </c>
      <c r="C93" s="2" t="s">
        <v>235</v>
      </c>
      <c r="D93" s="2" t="s">
        <v>244</v>
      </c>
      <c r="E93" s="2" t="s">
        <v>245</v>
      </c>
      <c r="F93" s="6" t="s">
        <v>58</v>
      </c>
      <c r="G93" s="5" t="s">
        <v>14</v>
      </c>
      <c r="H93" s="2" t="s">
        <v>15</v>
      </c>
      <c r="I93" s="2"/>
    </row>
    <row r="94" customFormat="false" ht="15" hidden="false" customHeight="false" outlineLevel="0" collapsed="false">
      <c r="A94" s="2" t="n">
        <v>93</v>
      </c>
      <c r="B94" s="3" t="s">
        <v>234</v>
      </c>
      <c r="C94" s="2" t="s">
        <v>235</v>
      </c>
      <c r="D94" s="2" t="s">
        <v>246</v>
      </c>
      <c r="E94" s="2" t="s">
        <v>247</v>
      </c>
      <c r="F94" s="6" t="s">
        <v>58</v>
      </c>
      <c r="G94" s="6" t="s">
        <v>27</v>
      </c>
      <c r="H94" s="2" t="s">
        <v>15</v>
      </c>
      <c r="I94" s="2"/>
    </row>
    <row r="95" customFormat="false" ht="23.85" hidden="false" customHeight="false" outlineLevel="0" collapsed="false">
      <c r="A95" s="2" t="n">
        <v>94</v>
      </c>
      <c r="B95" s="3" t="s">
        <v>234</v>
      </c>
      <c r="C95" s="2" t="s">
        <v>235</v>
      </c>
      <c r="D95" s="2" t="s">
        <v>248</v>
      </c>
      <c r="E95" s="2" t="s">
        <v>249</v>
      </c>
      <c r="F95" s="4" t="s">
        <v>13</v>
      </c>
      <c r="G95" s="5" t="s">
        <v>14</v>
      </c>
      <c r="H95" s="2" t="s">
        <v>15</v>
      </c>
      <c r="I95" s="2"/>
    </row>
    <row r="96" customFormat="false" ht="15" hidden="false" customHeight="false" outlineLevel="0" collapsed="false">
      <c r="A96" s="2" t="n">
        <v>95</v>
      </c>
      <c r="B96" s="3" t="s">
        <v>234</v>
      </c>
      <c r="C96" s="2" t="s">
        <v>235</v>
      </c>
      <c r="D96" s="2" t="s">
        <v>250</v>
      </c>
      <c r="E96" s="2" t="s">
        <v>251</v>
      </c>
      <c r="F96" s="4" t="s">
        <v>41</v>
      </c>
      <c r="G96" s="6" t="s">
        <v>27</v>
      </c>
      <c r="H96" s="2" t="s">
        <v>15</v>
      </c>
      <c r="I96" s="2"/>
    </row>
    <row r="97" customFormat="false" ht="15" hidden="false" customHeight="false" outlineLevel="0" collapsed="false">
      <c r="A97" s="2" t="n">
        <v>96</v>
      </c>
      <c r="B97" s="3" t="s">
        <v>234</v>
      </c>
      <c r="C97" s="2" t="s">
        <v>235</v>
      </c>
      <c r="D97" s="2" t="s">
        <v>252</v>
      </c>
      <c r="E97" s="2" t="s">
        <v>233</v>
      </c>
      <c r="F97" s="6" t="s">
        <v>58</v>
      </c>
      <c r="G97" s="7" t="s">
        <v>53</v>
      </c>
      <c r="H97" s="2" t="s">
        <v>15</v>
      </c>
      <c r="I97" s="2"/>
    </row>
    <row r="98" customFormat="false" ht="15" hidden="false" customHeight="false" outlineLevel="0" collapsed="false">
      <c r="A98" s="2" t="n">
        <v>97</v>
      </c>
      <c r="B98" s="3" t="s">
        <v>253</v>
      </c>
      <c r="C98" s="2" t="s">
        <v>254</v>
      </c>
      <c r="D98" s="2" t="s">
        <v>255</v>
      </c>
      <c r="E98" s="2" t="s">
        <v>256</v>
      </c>
      <c r="F98" s="4" t="s">
        <v>13</v>
      </c>
      <c r="G98" s="5" t="s">
        <v>14</v>
      </c>
      <c r="H98" s="2" t="s">
        <v>15</v>
      </c>
      <c r="I98" s="2"/>
    </row>
    <row r="99" customFormat="false" ht="15" hidden="false" customHeight="false" outlineLevel="0" collapsed="false">
      <c r="A99" s="2" t="n">
        <v>98</v>
      </c>
      <c r="B99" s="3" t="s">
        <v>253</v>
      </c>
      <c r="C99" s="2" t="s">
        <v>254</v>
      </c>
      <c r="D99" s="2" t="s">
        <v>257</v>
      </c>
      <c r="E99" s="2" t="s">
        <v>258</v>
      </c>
      <c r="F99" s="4" t="s">
        <v>13</v>
      </c>
      <c r="G99" s="5" t="s">
        <v>14</v>
      </c>
      <c r="H99" s="2" t="s">
        <v>15</v>
      </c>
      <c r="I99" s="2"/>
    </row>
    <row r="100" customFormat="false" ht="15" hidden="false" customHeight="false" outlineLevel="0" collapsed="false">
      <c r="A100" s="2" t="n">
        <v>99</v>
      </c>
      <c r="B100" s="3" t="s">
        <v>253</v>
      </c>
      <c r="C100" s="2" t="s">
        <v>254</v>
      </c>
      <c r="D100" s="2" t="s">
        <v>259</v>
      </c>
      <c r="E100" s="2" t="s">
        <v>260</v>
      </c>
      <c r="F100" s="6" t="s">
        <v>37</v>
      </c>
      <c r="G100" s="6" t="s">
        <v>27</v>
      </c>
      <c r="H100" s="2" t="s">
        <v>15</v>
      </c>
      <c r="I100" s="2"/>
    </row>
    <row r="101" customFormat="false" ht="23.85" hidden="false" customHeight="false" outlineLevel="0" collapsed="false">
      <c r="A101" s="2" t="n">
        <v>100</v>
      </c>
      <c r="B101" s="3" t="s">
        <v>253</v>
      </c>
      <c r="C101" s="2" t="s">
        <v>254</v>
      </c>
      <c r="D101" s="2" t="s">
        <v>261</v>
      </c>
      <c r="E101" s="2" t="s">
        <v>262</v>
      </c>
      <c r="F101" s="4" t="s">
        <v>13</v>
      </c>
      <c r="G101" s="5" t="s">
        <v>14</v>
      </c>
      <c r="H101" s="2" t="s">
        <v>15</v>
      </c>
      <c r="I101" s="2"/>
    </row>
    <row r="102" customFormat="false" ht="23.85" hidden="false" customHeight="false" outlineLevel="0" collapsed="false">
      <c r="A102" s="2" t="n">
        <v>101</v>
      </c>
      <c r="B102" s="3" t="s">
        <v>253</v>
      </c>
      <c r="C102" s="2" t="s">
        <v>254</v>
      </c>
      <c r="D102" s="2" t="s">
        <v>263</v>
      </c>
      <c r="E102" s="2" t="s">
        <v>264</v>
      </c>
      <c r="F102" s="6" t="s">
        <v>37</v>
      </c>
      <c r="G102" s="7" t="s">
        <v>53</v>
      </c>
      <c r="H102" s="2" t="s">
        <v>15</v>
      </c>
      <c r="I102" s="2" t="s">
        <v>265</v>
      </c>
    </row>
    <row r="103" customFormat="false" ht="15" hidden="false" customHeight="false" outlineLevel="0" collapsed="false">
      <c r="A103" s="2" t="n">
        <v>102</v>
      </c>
      <c r="B103" s="3" t="s">
        <v>253</v>
      </c>
      <c r="C103" s="2" t="s">
        <v>254</v>
      </c>
      <c r="D103" s="2" t="s">
        <v>266</v>
      </c>
      <c r="E103" s="2" t="s">
        <v>267</v>
      </c>
      <c r="F103" s="4" t="s">
        <v>41</v>
      </c>
      <c r="G103" s="7" t="s">
        <v>53</v>
      </c>
      <c r="H103" s="2" t="s">
        <v>15</v>
      </c>
      <c r="I103" s="2"/>
    </row>
    <row r="104" customFormat="false" ht="46.25" hidden="false" customHeight="false" outlineLevel="0" collapsed="false">
      <c r="A104" s="2" t="n">
        <v>103</v>
      </c>
      <c r="B104" s="3" t="s">
        <v>268</v>
      </c>
      <c r="C104" s="2" t="s">
        <v>269</v>
      </c>
      <c r="D104" s="2" t="s">
        <v>270</v>
      </c>
      <c r="E104" s="2" t="s">
        <v>271</v>
      </c>
      <c r="F104" s="4" t="s">
        <v>13</v>
      </c>
      <c r="G104" s="5" t="s">
        <v>14</v>
      </c>
      <c r="H104" s="2" t="s">
        <v>15</v>
      </c>
      <c r="I104" s="2" t="s">
        <v>272</v>
      </c>
    </row>
    <row r="105" customFormat="false" ht="15" hidden="false" customHeight="false" outlineLevel="0" collapsed="false">
      <c r="A105" s="2" t="n">
        <v>104</v>
      </c>
      <c r="B105" s="3" t="s">
        <v>268</v>
      </c>
      <c r="C105" s="2" t="s">
        <v>269</v>
      </c>
      <c r="D105" s="2" t="s">
        <v>273</v>
      </c>
      <c r="E105" s="2" t="s">
        <v>274</v>
      </c>
      <c r="F105" s="4" t="s">
        <v>33</v>
      </c>
      <c r="G105" s="6" t="s">
        <v>27</v>
      </c>
      <c r="H105" s="2" t="s">
        <v>15</v>
      </c>
      <c r="I105" s="2"/>
    </row>
    <row r="106" customFormat="false" ht="23.85" hidden="false" customHeight="false" outlineLevel="0" collapsed="false">
      <c r="A106" s="2" t="n">
        <v>105</v>
      </c>
      <c r="B106" s="3" t="s">
        <v>268</v>
      </c>
      <c r="C106" s="2" t="s">
        <v>269</v>
      </c>
      <c r="D106" s="2" t="s">
        <v>275</v>
      </c>
      <c r="E106" s="2" t="s">
        <v>276</v>
      </c>
      <c r="F106" s="6" t="s">
        <v>58</v>
      </c>
      <c r="G106" s="6" t="s">
        <v>27</v>
      </c>
      <c r="H106" s="2" t="s">
        <v>15</v>
      </c>
      <c r="I106" s="2"/>
    </row>
    <row r="107" customFormat="false" ht="15" hidden="false" customHeight="false" outlineLevel="0" collapsed="false">
      <c r="A107" s="2" t="n">
        <v>106</v>
      </c>
      <c r="B107" s="3" t="s">
        <v>268</v>
      </c>
      <c r="C107" s="2" t="s">
        <v>269</v>
      </c>
      <c r="D107" s="2" t="s">
        <v>277</v>
      </c>
      <c r="E107" s="2" t="s">
        <v>278</v>
      </c>
      <c r="F107" s="6" t="s">
        <v>58</v>
      </c>
      <c r="G107" s="7" t="s">
        <v>53</v>
      </c>
      <c r="H107" s="2" t="s">
        <v>15</v>
      </c>
      <c r="I107" s="2"/>
    </row>
    <row r="108" customFormat="false" ht="23.85" hidden="false" customHeight="false" outlineLevel="0" collapsed="false">
      <c r="A108" s="2" t="n">
        <v>107</v>
      </c>
      <c r="B108" s="3" t="s">
        <v>268</v>
      </c>
      <c r="C108" s="2" t="s">
        <v>269</v>
      </c>
      <c r="D108" s="2" t="s">
        <v>279</v>
      </c>
      <c r="E108" s="2" t="s">
        <v>280</v>
      </c>
      <c r="F108" s="6" t="s">
        <v>58</v>
      </c>
      <c r="G108" s="7" t="s">
        <v>53</v>
      </c>
      <c r="H108" s="2" t="s">
        <v>15</v>
      </c>
      <c r="I108" s="2"/>
    </row>
    <row r="109" customFormat="false" ht="15" hidden="false" customHeight="false" outlineLevel="0" collapsed="false">
      <c r="A109" s="2" t="n">
        <v>108</v>
      </c>
      <c r="B109" s="3" t="s">
        <v>268</v>
      </c>
      <c r="C109" s="2" t="s">
        <v>269</v>
      </c>
      <c r="D109" s="2" t="s">
        <v>281</v>
      </c>
      <c r="E109" s="2" t="s">
        <v>282</v>
      </c>
      <c r="F109" s="6" t="s">
        <v>37</v>
      </c>
      <c r="G109" s="7" t="s">
        <v>53</v>
      </c>
      <c r="H109" s="2" t="s">
        <v>15</v>
      </c>
      <c r="I109" s="2"/>
    </row>
    <row r="110" customFormat="false" ht="23.85" hidden="false" customHeight="false" outlineLevel="0" collapsed="false">
      <c r="A110" s="2" t="n">
        <v>109</v>
      </c>
      <c r="B110" s="3" t="s">
        <v>283</v>
      </c>
      <c r="C110" s="2" t="s">
        <v>284</v>
      </c>
      <c r="D110" s="2" t="s">
        <v>285</v>
      </c>
      <c r="E110" s="2" t="s">
        <v>286</v>
      </c>
      <c r="F110" s="4" t="s">
        <v>41</v>
      </c>
      <c r="G110" s="5" t="s">
        <v>14</v>
      </c>
      <c r="H110" s="2" t="s">
        <v>15</v>
      </c>
      <c r="I110" s="2" t="s">
        <v>287</v>
      </c>
    </row>
    <row r="111" customFormat="false" ht="15" hidden="false" customHeight="false" outlineLevel="0" collapsed="false">
      <c r="A111" s="2" t="n">
        <v>110</v>
      </c>
      <c r="B111" s="3" t="s">
        <v>288</v>
      </c>
      <c r="C111" s="2" t="s">
        <v>289</v>
      </c>
      <c r="D111" s="2" t="s">
        <v>290</v>
      </c>
      <c r="E111" s="2" t="s">
        <v>291</v>
      </c>
      <c r="F111" s="6" t="s">
        <v>37</v>
      </c>
      <c r="G111" s="7" t="s">
        <v>53</v>
      </c>
      <c r="H111" s="2" t="s">
        <v>15</v>
      </c>
      <c r="I111" s="2"/>
    </row>
    <row r="112" customFormat="false" ht="15" hidden="false" customHeight="false" outlineLevel="0" collapsed="false">
      <c r="A112" s="2" t="n">
        <v>111</v>
      </c>
      <c r="B112" s="3" t="s">
        <v>292</v>
      </c>
      <c r="C112" s="2" t="s">
        <v>293</v>
      </c>
      <c r="D112" s="2" t="s">
        <v>294</v>
      </c>
      <c r="E112" s="2" t="s">
        <v>295</v>
      </c>
      <c r="F112" s="4" t="s">
        <v>13</v>
      </c>
      <c r="G112" s="7" t="s">
        <v>53</v>
      </c>
      <c r="H112" s="2" t="s">
        <v>15</v>
      </c>
      <c r="I112" s="2" t="s">
        <v>296</v>
      </c>
    </row>
    <row r="113" customFormat="false" ht="15" hidden="false" customHeight="false" outlineLevel="0" collapsed="false">
      <c r="A113" s="2" t="n">
        <v>112</v>
      </c>
      <c r="B113" s="3" t="s">
        <v>292</v>
      </c>
      <c r="C113" s="2" t="s">
        <v>293</v>
      </c>
      <c r="D113" s="2" t="s">
        <v>297</v>
      </c>
      <c r="E113" s="2" t="s">
        <v>298</v>
      </c>
      <c r="F113" s="4" t="s">
        <v>41</v>
      </c>
      <c r="G113" s="6" t="s">
        <v>27</v>
      </c>
      <c r="H113" s="2" t="s">
        <v>15</v>
      </c>
      <c r="I113" s="2" t="s">
        <v>299</v>
      </c>
    </row>
    <row r="114" customFormat="false" ht="15" hidden="false" customHeight="false" outlineLevel="0" collapsed="false">
      <c r="A114" s="2" t="n">
        <v>113</v>
      </c>
      <c r="B114" s="3" t="s">
        <v>292</v>
      </c>
      <c r="C114" s="2" t="s">
        <v>293</v>
      </c>
      <c r="D114" s="2" t="s">
        <v>300</v>
      </c>
      <c r="E114" s="2" t="s">
        <v>301</v>
      </c>
      <c r="F114" s="6" t="s">
        <v>37</v>
      </c>
      <c r="G114" s="7" t="s">
        <v>53</v>
      </c>
      <c r="H114" s="2" t="s">
        <v>15</v>
      </c>
      <c r="I114" s="2" t="s">
        <v>302</v>
      </c>
    </row>
    <row r="115" customFormat="false" ht="15" hidden="false" customHeight="false" outlineLevel="0" collapsed="false">
      <c r="A115" s="2" t="n">
        <v>114</v>
      </c>
      <c r="B115" s="3" t="s">
        <v>292</v>
      </c>
      <c r="C115" s="2" t="s">
        <v>293</v>
      </c>
      <c r="D115" s="2" t="s">
        <v>303</v>
      </c>
      <c r="E115" s="2" t="s">
        <v>134</v>
      </c>
      <c r="F115" s="5" t="s">
        <v>135</v>
      </c>
      <c r="G115" s="7" t="s">
        <v>53</v>
      </c>
      <c r="H115" s="2" t="s">
        <v>15</v>
      </c>
      <c r="I115" s="2"/>
    </row>
    <row r="116" customFormat="false" ht="23.85" hidden="false" customHeight="false" outlineLevel="0" collapsed="false">
      <c r="A116" s="2" t="n">
        <v>115</v>
      </c>
      <c r="B116" s="3" t="s">
        <v>304</v>
      </c>
      <c r="C116" s="2" t="s">
        <v>305</v>
      </c>
      <c r="D116" s="2" t="s">
        <v>306</v>
      </c>
      <c r="E116" s="2" t="s">
        <v>307</v>
      </c>
      <c r="F116" s="4" t="s">
        <v>13</v>
      </c>
      <c r="G116" s="6" t="s">
        <v>27</v>
      </c>
      <c r="H116" s="2" t="s">
        <v>15</v>
      </c>
      <c r="I116" s="2"/>
    </row>
    <row r="117" customFormat="false" ht="15" hidden="false" customHeight="false" outlineLevel="0" collapsed="false">
      <c r="A117" s="2" t="n">
        <v>116</v>
      </c>
      <c r="B117" s="3" t="s">
        <v>304</v>
      </c>
      <c r="C117" s="2" t="s">
        <v>305</v>
      </c>
      <c r="D117" s="2" t="s">
        <v>308</v>
      </c>
      <c r="E117" s="2" t="s">
        <v>309</v>
      </c>
      <c r="F117" s="4" t="s">
        <v>41</v>
      </c>
      <c r="G117" s="7" t="s">
        <v>53</v>
      </c>
      <c r="H117" s="2" t="s">
        <v>15</v>
      </c>
      <c r="I117" s="2"/>
    </row>
    <row r="118" customFormat="false" ht="15" hidden="false" customHeight="false" outlineLevel="0" collapsed="false">
      <c r="A118" s="2" t="n">
        <v>117</v>
      </c>
      <c r="B118" s="3" t="s">
        <v>304</v>
      </c>
      <c r="C118" s="2" t="s">
        <v>305</v>
      </c>
      <c r="D118" s="2" t="s">
        <v>310</v>
      </c>
      <c r="E118" s="2" t="s">
        <v>311</v>
      </c>
      <c r="F118" s="4" t="s">
        <v>33</v>
      </c>
      <c r="G118" s="7" t="s">
        <v>53</v>
      </c>
      <c r="H118" s="2" t="s">
        <v>15</v>
      </c>
      <c r="I118" s="2"/>
    </row>
    <row r="119" customFormat="false" ht="23.85" hidden="false" customHeight="false" outlineLevel="0" collapsed="false">
      <c r="A119" s="2" t="n">
        <v>118</v>
      </c>
      <c r="B119" s="3" t="s">
        <v>304</v>
      </c>
      <c r="C119" s="2" t="s">
        <v>305</v>
      </c>
      <c r="D119" s="2" t="s">
        <v>312</v>
      </c>
      <c r="E119" s="2" t="s">
        <v>313</v>
      </c>
      <c r="F119" s="5" t="s">
        <v>135</v>
      </c>
      <c r="G119" s="6" t="s">
        <v>27</v>
      </c>
      <c r="H119" s="2" t="s">
        <v>15</v>
      </c>
      <c r="I119" s="2"/>
    </row>
    <row r="120" customFormat="false" ht="23.85" hidden="false" customHeight="false" outlineLevel="0" collapsed="false">
      <c r="A120" s="2" t="n">
        <v>119</v>
      </c>
      <c r="B120" s="3" t="s">
        <v>314</v>
      </c>
      <c r="C120" s="2" t="s">
        <v>315</v>
      </c>
      <c r="D120" s="2" t="s">
        <v>316</v>
      </c>
      <c r="E120" s="2" t="s">
        <v>317</v>
      </c>
      <c r="F120" s="6" t="s">
        <v>37</v>
      </c>
      <c r="G120" s="5" t="s">
        <v>14</v>
      </c>
      <c r="H120" s="2" t="s">
        <v>15</v>
      </c>
      <c r="I120" s="2" t="s">
        <v>318</v>
      </c>
    </row>
    <row r="121" customFormat="false" ht="35.05" hidden="false" customHeight="false" outlineLevel="0" collapsed="false">
      <c r="A121" s="2" t="n">
        <v>120</v>
      </c>
      <c r="B121" s="3" t="s">
        <v>314</v>
      </c>
      <c r="C121" s="2" t="s">
        <v>315</v>
      </c>
      <c r="D121" s="2" t="s">
        <v>319</v>
      </c>
      <c r="E121" s="2" t="s">
        <v>320</v>
      </c>
      <c r="F121" s="6" t="s">
        <v>58</v>
      </c>
      <c r="G121" s="5" t="s">
        <v>14</v>
      </c>
      <c r="H121" s="2" t="s">
        <v>15</v>
      </c>
      <c r="I121" s="2" t="s">
        <v>321</v>
      </c>
    </row>
    <row r="122" customFormat="false" ht="15" hidden="false" customHeight="false" outlineLevel="0" collapsed="false">
      <c r="A122" s="2" t="n">
        <v>121</v>
      </c>
      <c r="B122" s="3" t="s">
        <v>314</v>
      </c>
      <c r="C122" s="2" t="s">
        <v>315</v>
      </c>
      <c r="D122" s="2" t="s">
        <v>322</v>
      </c>
      <c r="E122" s="2" t="s">
        <v>258</v>
      </c>
      <c r="F122" s="5" t="s">
        <v>135</v>
      </c>
      <c r="G122" s="5" t="s">
        <v>14</v>
      </c>
      <c r="H122" s="2" t="s">
        <v>15</v>
      </c>
      <c r="I122" s="2"/>
    </row>
    <row r="123" customFormat="false" ht="15" hidden="false" customHeight="false" outlineLevel="0" collapsed="false">
      <c r="A123" s="2" t="n">
        <v>122</v>
      </c>
      <c r="B123" s="3" t="s">
        <v>314</v>
      </c>
      <c r="C123" s="2" t="s">
        <v>315</v>
      </c>
      <c r="D123" s="2" t="s">
        <v>323</v>
      </c>
      <c r="E123" s="2" t="s">
        <v>324</v>
      </c>
      <c r="F123" s="4" t="s">
        <v>13</v>
      </c>
      <c r="G123" s="6" t="s">
        <v>27</v>
      </c>
      <c r="H123" s="2" t="s">
        <v>15</v>
      </c>
      <c r="I123" s="2"/>
    </row>
    <row r="124" customFormat="false" ht="23.85" hidden="false" customHeight="false" outlineLevel="0" collapsed="false">
      <c r="A124" s="2" t="n">
        <v>123</v>
      </c>
      <c r="B124" s="3" t="s">
        <v>325</v>
      </c>
      <c r="C124" s="2" t="s">
        <v>326</v>
      </c>
      <c r="D124" s="2" t="s">
        <v>327</v>
      </c>
      <c r="E124" s="2" t="s">
        <v>328</v>
      </c>
      <c r="F124" s="6" t="s">
        <v>37</v>
      </c>
      <c r="G124" s="6" t="s">
        <v>27</v>
      </c>
      <c r="H124" s="2" t="s">
        <v>15</v>
      </c>
      <c r="I124" s="2"/>
    </row>
    <row r="125" customFormat="false" ht="23.85" hidden="false" customHeight="false" outlineLevel="0" collapsed="false">
      <c r="A125" s="2" t="n">
        <v>124</v>
      </c>
      <c r="B125" s="3" t="s">
        <v>329</v>
      </c>
      <c r="C125" s="2" t="s">
        <v>330</v>
      </c>
      <c r="D125" s="2" t="s">
        <v>331</v>
      </c>
      <c r="E125" s="2" t="s">
        <v>332</v>
      </c>
      <c r="F125" s="5" t="s">
        <v>135</v>
      </c>
      <c r="G125" s="5" t="s">
        <v>14</v>
      </c>
      <c r="H125" s="2" t="s">
        <v>15</v>
      </c>
      <c r="I125" s="2"/>
    </row>
    <row r="126" customFormat="false" ht="23.85" hidden="false" customHeight="false" outlineLevel="0" collapsed="false">
      <c r="A126" s="2" t="n">
        <v>125</v>
      </c>
      <c r="B126" s="3" t="s">
        <v>329</v>
      </c>
      <c r="C126" s="2" t="s">
        <v>330</v>
      </c>
      <c r="D126" s="2" t="s">
        <v>333</v>
      </c>
      <c r="E126" s="2" t="s">
        <v>334</v>
      </c>
      <c r="F126" s="4" t="s">
        <v>13</v>
      </c>
      <c r="G126" s="5" t="s">
        <v>14</v>
      </c>
      <c r="H126" s="2" t="s">
        <v>15</v>
      </c>
      <c r="I126" s="2"/>
    </row>
    <row r="127" customFormat="false" ht="23.85" hidden="false" customHeight="false" outlineLevel="0" collapsed="false">
      <c r="A127" s="2" t="n">
        <v>126</v>
      </c>
      <c r="B127" s="3" t="s">
        <v>329</v>
      </c>
      <c r="C127" s="2" t="s">
        <v>330</v>
      </c>
      <c r="D127" s="2" t="s">
        <v>335</v>
      </c>
      <c r="E127" s="2" t="s">
        <v>336</v>
      </c>
      <c r="F127" s="4" t="s">
        <v>33</v>
      </c>
      <c r="G127" s="6" t="s">
        <v>27</v>
      </c>
      <c r="H127" s="2" t="s">
        <v>15</v>
      </c>
      <c r="I127" s="2"/>
    </row>
    <row r="128" customFormat="false" ht="15" hidden="false" customHeight="false" outlineLevel="0" collapsed="false">
      <c r="A128" s="2" t="n">
        <v>127</v>
      </c>
      <c r="B128" s="3" t="s">
        <v>329</v>
      </c>
      <c r="C128" s="2" t="s">
        <v>330</v>
      </c>
      <c r="D128" s="2" t="s">
        <v>337</v>
      </c>
      <c r="E128" s="2" t="s">
        <v>338</v>
      </c>
      <c r="F128" s="4" t="s">
        <v>13</v>
      </c>
      <c r="G128" s="7" t="s">
        <v>53</v>
      </c>
      <c r="H128" s="2" t="s">
        <v>15</v>
      </c>
      <c r="I128" s="2"/>
    </row>
    <row r="129" customFormat="false" ht="15" hidden="false" customHeight="false" outlineLevel="0" collapsed="false">
      <c r="A129" s="2" t="n">
        <v>128</v>
      </c>
      <c r="B129" s="3" t="s">
        <v>329</v>
      </c>
      <c r="C129" s="2" t="s">
        <v>330</v>
      </c>
      <c r="D129" s="2" t="s">
        <v>339</v>
      </c>
      <c r="E129" s="2" t="s">
        <v>340</v>
      </c>
      <c r="F129" s="6" t="s">
        <v>37</v>
      </c>
      <c r="G129" s="6" t="s">
        <v>27</v>
      </c>
      <c r="H129" s="2" t="s">
        <v>15</v>
      </c>
      <c r="I129" s="2"/>
    </row>
    <row r="130" customFormat="false" ht="15" hidden="false" customHeight="false" outlineLevel="0" collapsed="false">
      <c r="A130" s="2" t="n">
        <v>129</v>
      </c>
      <c r="B130" s="3" t="s">
        <v>341</v>
      </c>
      <c r="C130" s="2" t="s">
        <v>342</v>
      </c>
      <c r="D130" s="2" t="s">
        <v>343</v>
      </c>
      <c r="E130" s="2" t="s">
        <v>344</v>
      </c>
      <c r="F130" s="4" t="s">
        <v>41</v>
      </c>
      <c r="G130" s="5" t="s">
        <v>14</v>
      </c>
      <c r="H130" s="2" t="s">
        <v>15</v>
      </c>
      <c r="I130" s="2" t="s">
        <v>345</v>
      </c>
    </row>
  </sheetData>
  <autoFilter ref="A1:I130"/>
  <dataValidations count="1">
    <dataValidation allowBlank="false" errorStyle="stop" operator="between" showDropDown="false" showErrorMessage="false" showInputMessage="false" sqref="H2:H130" type="list">
      <formula1>"To do,In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9" t="s">
        <v>346</v>
      </c>
    </row>
    <row r="3" customFormat="false" ht="15" hidden="false" customHeight="false" outlineLevel="0" collapsed="false">
      <c r="A3" s="10" t="s">
        <v>347</v>
      </c>
      <c r="B3" s="10" t="s">
        <v>348</v>
      </c>
      <c r="C3" s="10" t="s">
        <v>15</v>
      </c>
      <c r="D3" s="10" t="s">
        <v>349</v>
      </c>
      <c r="E3" s="10" t="s">
        <v>350</v>
      </c>
      <c r="F3" s="10" t="s">
        <v>351</v>
      </c>
    </row>
    <row r="4" customFormat="false" ht="15" hidden="false" customHeight="false" outlineLevel="0" collapsed="false">
      <c r="A4" s="11" t="s">
        <v>13</v>
      </c>
      <c r="B4" s="11" t="n">
        <f aca="false">COUNTIF('Find &amp; Replace'!$F$2:$F$130,A4)</f>
        <v>49</v>
      </c>
      <c r="C4" s="11" t="n">
        <f aca="false">COUNTIFS('Find &amp; Replace'!$F$2:$F$130,$A4,'Find &amp; Replace'!$H$2:$H$130,"To do")</f>
        <v>49</v>
      </c>
      <c r="D4" s="11" t="n">
        <f aca="false">COUNTIFS('Find &amp; Replace'!$F$2:$F$130,$A4,'Find &amp; Replace'!$H$2:$H$130,"In progress")</f>
        <v>0</v>
      </c>
      <c r="E4" s="11" t="n">
        <f aca="false">COUNTIFS('Find &amp; Replace'!$F$2:$F$130,$A4,'Find &amp; Replace'!$H$2:$H$130,"Done")</f>
        <v>0</v>
      </c>
      <c r="F4" s="11" t="n">
        <f aca="false">COUNTIFS('Find &amp; Replace'!$F$2:$F$130,$A4,'Find &amp; Replace'!$H$2:$H$130,"Skipped")</f>
        <v>0</v>
      </c>
    </row>
    <row r="5" customFormat="false" ht="15" hidden="false" customHeight="false" outlineLevel="0" collapsed="false">
      <c r="A5" s="11" t="s">
        <v>33</v>
      </c>
      <c r="B5" s="11" t="n">
        <f aca="false">COUNTIF('Find &amp; Replace'!$F$2:$F$130,A5)</f>
        <v>8</v>
      </c>
      <c r="C5" s="11" t="n">
        <f aca="false">COUNTIFS('Find &amp; Replace'!$F$2:$F$130,$A5,'Find &amp; Replace'!$H$2:$H$130,"To do")</f>
        <v>8</v>
      </c>
      <c r="D5" s="11" t="n">
        <f aca="false">COUNTIFS('Find &amp; Replace'!$F$2:$F$130,$A5,'Find &amp; Replace'!$H$2:$H$130,"In progress")</f>
        <v>0</v>
      </c>
      <c r="E5" s="11" t="n">
        <f aca="false">COUNTIFS('Find &amp; Replace'!$F$2:$F$130,$A5,'Find &amp; Replace'!$H$2:$H$130,"Done")</f>
        <v>0</v>
      </c>
      <c r="F5" s="11" t="n">
        <f aca="false">COUNTIFS('Find &amp; Replace'!$F$2:$F$130,$A5,'Find &amp; Replace'!$H$2:$H$130,"Skipped")</f>
        <v>0</v>
      </c>
    </row>
    <row r="6" customFormat="false" ht="15" hidden="false" customHeight="false" outlineLevel="0" collapsed="false">
      <c r="A6" s="11" t="s">
        <v>37</v>
      </c>
      <c r="B6" s="11" t="n">
        <f aca="false">COUNTIF('Find &amp; Replace'!$F$2:$F$130,A6)</f>
        <v>13</v>
      </c>
      <c r="C6" s="11" t="n">
        <f aca="false">COUNTIFS('Find &amp; Replace'!$F$2:$F$130,$A6,'Find &amp; Replace'!$H$2:$H$130,"To do")</f>
        <v>13</v>
      </c>
      <c r="D6" s="11" t="n">
        <f aca="false">COUNTIFS('Find &amp; Replace'!$F$2:$F$130,$A6,'Find &amp; Replace'!$H$2:$H$130,"In progress")</f>
        <v>0</v>
      </c>
      <c r="E6" s="11" t="n">
        <f aca="false">COUNTIFS('Find &amp; Replace'!$F$2:$F$130,$A6,'Find &amp; Replace'!$H$2:$H$130,"Done")</f>
        <v>0</v>
      </c>
      <c r="F6" s="11" t="n">
        <f aca="false">COUNTIFS('Find &amp; Replace'!$F$2:$F$130,$A6,'Find &amp; Replace'!$H$2:$H$130,"Skipped")</f>
        <v>0</v>
      </c>
    </row>
    <row r="7" customFormat="false" ht="15" hidden="false" customHeight="false" outlineLevel="0" collapsed="false">
      <c r="A7" s="11" t="s">
        <v>58</v>
      </c>
      <c r="B7" s="11" t="n">
        <f aca="false">COUNTIF('Find &amp; Replace'!$F$2:$F$130,A7)</f>
        <v>37</v>
      </c>
      <c r="C7" s="11" t="n">
        <f aca="false">COUNTIFS('Find &amp; Replace'!$F$2:$F$130,$A7,'Find &amp; Replace'!$H$2:$H$130,"To do")</f>
        <v>37</v>
      </c>
      <c r="D7" s="11" t="n">
        <f aca="false">COUNTIFS('Find &amp; Replace'!$F$2:$F$130,$A7,'Find &amp; Replace'!$H$2:$H$130,"In progress")</f>
        <v>0</v>
      </c>
      <c r="E7" s="11" t="n">
        <f aca="false">COUNTIFS('Find &amp; Replace'!$F$2:$F$130,$A7,'Find &amp; Replace'!$H$2:$H$130,"Done")</f>
        <v>0</v>
      </c>
      <c r="F7" s="11" t="n">
        <f aca="false">COUNTIFS('Find &amp; Replace'!$F$2:$F$130,$A7,'Find &amp; Replace'!$H$2:$H$130,"Skipped")</f>
        <v>0</v>
      </c>
    </row>
    <row r="8" customFormat="false" ht="15" hidden="false" customHeight="false" outlineLevel="0" collapsed="false">
      <c r="A8" s="11" t="s">
        <v>135</v>
      </c>
      <c r="B8" s="11" t="n">
        <f aca="false">COUNTIF('Find &amp; Replace'!$F$2:$F$130,A8)</f>
        <v>7</v>
      </c>
      <c r="C8" s="11" t="n">
        <f aca="false">COUNTIFS('Find &amp; Replace'!$F$2:$F$130,$A8,'Find &amp; Replace'!$H$2:$H$130,"To do")</f>
        <v>7</v>
      </c>
      <c r="D8" s="11" t="n">
        <f aca="false">COUNTIFS('Find &amp; Replace'!$F$2:$F$130,$A8,'Find &amp; Replace'!$H$2:$H$130,"In progress")</f>
        <v>0</v>
      </c>
      <c r="E8" s="11" t="n">
        <f aca="false">COUNTIFS('Find &amp; Replace'!$F$2:$F$130,$A8,'Find &amp; Replace'!$H$2:$H$130,"Done")</f>
        <v>0</v>
      </c>
      <c r="F8" s="11" t="n">
        <f aca="false">COUNTIFS('Find &amp; Replace'!$F$2:$F$130,$A8,'Find &amp; Replace'!$H$2:$H$130,"Skipped")</f>
        <v>0</v>
      </c>
    </row>
    <row r="9" customFormat="false" ht="15" hidden="false" customHeight="false" outlineLevel="0" collapsed="false">
      <c r="A9" s="11" t="s">
        <v>137</v>
      </c>
      <c r="B9" s="11" t="n">
        <f aca="false">COUNTIF('Find &amp; Replace'!$F$2:$F$130,A9)</f>
        <v>3</v>
      </c>
      <c r="C9" s="11" t="n">
        <f aca="false">COUNTIFS('Find &amp; Replace'!$F$2:$F$130,$A9,'Find &amp; Replace'!$H$2:$H$130,"To do")</f>
        <v>3</v>
      </c>
      <c r="D9" s="11" t="n">
        <f aca="false">COUNTIFS('Find &amp; Replace'!$F$2:$F$130,$A9,'Find &amp; Replace'!$H$2:$H$130,"In progress")</f>
        <v>0</v>
      </c>
      <c r="E9" s="11" t="n">
        <f aca="false">COUNTIFS('Find &amp; Replace'!$F$2:$F$130,$A9,'Find &amp; Replace'!$H$2:$H$130,"Done")</f>
        <v>0</v>
      </c>
      <c r="F9" s="11" t="n">
        <f aca="false">COUNTIFS('Find &amp; Replace'!$F$2:$F$130,$A9,'Find &amp; Replace'!$H$2:$H$130,"Skipped")</f>
        <v>0</v>
      </c>
    </row>
    <row r="10" customFormat="false" ht="15" hidden="false" customHeight="false" outlineLevel="0" collapsed="false">
      <c r="A10" s="11" t="s">
        <v>41</v>
      </c>
      <c r="B10" s="11" t="n">
        <f aca="false">COUNTIF('Find &amp; Replace'!$F$2:$F$130,A10)</f>
        <v>12</v>
      </c>
      <c r="C10" s="11" t="n">
        <f aca="false">COUNTIFS('Find &amp; Replace'!$F$2:$F$130,$A10,'Find &amp; Replace'!$H$2:$H$130,"To do")</f>
        <v>12</v>
      </c>
      <c r="D10" s="11" t="n">
        <f aca="false">COUNTIFS('Find &amp; Replace'!$F$2:$F$130,$A10,'Find &amp; Replace'!$H$2:$H$130,"In progress")</f>
        <v>0</v>
      </c>
      <c r="E10" s="11" t="n">
        <f aca="false">COUNTIFS('Find &amp; Replace'!$F$2:$F$130,$A10,'Find &amp; Replace'!$H$2:$H$130,"Done")</f>
        <v>0</v>
      </c>
      <c r="F10" s="11" t="n">
        <f aca="false">COUNTIFS('Find &amp; Replace'!$F$2:$F$130,$A10,'Find &amp; Replace'!$H$2:$H$130,"Skipped")</f>
        <v>0</v>
      </c>
    </row>
    <row r="11" customFormat="false" ht="15" hidden="false" customHeight="false" outlineLevel="0" collapsed="false">
      <c r="A11" s="12" t="s">
        <v>348</v>
      </c>
      <c r="B11" s="12" t="n">
        <f aca="false">SUM(B4:B10)</f>
        <v>129</v>
      </c>
      <c r="C11" s="12" t="n">
        <f aca="false">SUM(C4:C10)</f>
        <v>129</v>
      </c>
      <c r="D11" s="12" t="n">
        <f aca="false">SUM(D4:D10)</f>
        <v>0</v>
      </c>
      <c r="E11" s="12" t="n">
        <f aca="false">SUM(E4:E10)</f>
        <v>0</v>
      </c>
      <c r="F11" s="12" t="n">
        <f aca="false">SUM(F4:F10)</f>
        <v>0</v>
      </c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</row>
    <row r="13" customFormat="false" ht="15" hidden="false" customHeight="false" outlineLevel="0" collapsed="false">
      <c r="A13" s="11" t="s">
        <v>352</v>
      </c>
      <c r="B13" s="11" t="s">
        <v>348</v>
      </c>
      <c r="C13" s="11" t="s">
        <v>15</v>
      </c>
      <c r="D13" s="11" t="s">
        <v>349</v>
      </c>
      <c r="E13" s="11" t="s">
        <v>350</v>
      </c>
      <c r="F13" s="11" t="s">
        <v>351</v>
      </c>
    </row>
    <row r="14" customFormat="false" ht="15" hidden="false" customHeight="false" outlineLevel="0" collapsed="false">
      <c r="A14" s="11" t="s">
        <v>14</v>
      </c>
      <c r="B14" s="11" t="n">
        <f aca="false">COUNTIF('Find &amp; Replace'!$G$2:$G$130,A14)</f>
        <v>63</v>
      </c>
      <c r="C14" s="11" t="n">
        <f aca="false">COUNTIFS('Find &amp; Replace'!$G$2:$G$130,$A14,'Find &amp; Replace'!$H$2:$H$130,"To do")</f>
        <v>63</v>
      </c>
      <c r="D14" s="11" t="n">
        <f aca="false">COUNTIFS('Find &amp; Replace'!$G$2:$G$130,$A14,'Find &amp; Replace'!$H$2:$H$130,"In progress")</f>
        <v>0</v>
      </c>
      <c r="E14" s="11" t="n">
        <f aca="false">COUNTIFS('Find &amp; Replace'!$G$2:$G$130,$A14,'Find &amp; Replace'!$H$2:$H$130,"Done")</f>
        <v>0</v>
      </c>
      <c r="F14" s="11" t="n">
        <f aca="false">COUNTIFS('Find &amp; Replace'!$G$2:$G$130,$A14,'Find &amp; Replace'!$H$2:$H$130,"Skipped")</f>
        <v>0</v>
      </c>
    </row>
    <row r="15" customFormat="false" ht="15" hidden="false" customHeight="false" outlineLevel="0" collapsed="false">
      <c r="A15" s="11" t="s">
        <v>27</v>
      </c>
      <c r="B15" s="11" t="n">
        <f aca="false">COUNTIF('Find &amp; Replace'!$G$2:$G$130,A15)</f>
        <v>38</v>
      </c>
      <c r="C15" s="11" t="n">
        <f aca="false">COUNTIFS('Find &amp; Replace'!$G$2:$G$130,$A15,'Find &amp; Replace'!$H$2:$H$130,"To do")</f>
        <v>38</v>
      </c>
      <c r="D15" s="11" t="n">
        <f aca="false">COUNTIFS('Find &amp; Replace'!$G$2:$G$130,$A15,'Find &amp; Replace'!$H$2:$H$130,"In progress")</f>
        <v>0</v>
      </c>
      <c r="E15" s="11" t="n">
        <f aca="false">COUNTIFS('Find &amp; Replace'!$G$2:$G$130,$A15,'Find &amp; Replace'!$H$2:$H$130,"Done")</f>
        <v>0</v>
      </c>
      <c r="F15" s="11" t="n">
        <f aca="false">COUNTIFS('Find &amp; Replace'!$G$2:$G$130,$A15,'Find &amp; Replace'!$H$2:$H$130,"Skipped")</f>
        <v>0</v>
      </c>
    </row>
    <row r="16" customFormat="false" ht="15" hidden="false" customHeight="false" outlineLevel="0" collapsed="false">
      <c r="A16" s="11" t="s">
        <v>53</v>
      </c>
      <c r="B16" s="11" t="n">
        <f aca="false">COUNTIF('Find &amp; Replace'!$G$2:$G$130,A16)</f>
        <v>28</v>
      </c>
      <c r="C16" s="11" t="n">
        <f aca="false">COUNTIFS('Find &amp; Replace'!$G$2:$G$130,$A16,'Find &amp; Replace'!$H$2:$H$130,"To do")</f>
        <v>28</v>
      </c>
      <c r="D16" s="11" t="n">
        <f aca="false">COUNTIFS('Find &amp; Replace'!$G$2:$G$130,$A16,'Find &amp; Replace'!$H$2:$H$130,"In progress")</f>
        <v>0</v>
      </c>
      <c r="E16" s="11" t="n">
        <f aca="false">COUNTIFS('Find &amp; Replace'!$G$2:$G$130,$A16,'Find &amp; Replace'!$H$2:$H$130,"Done")</f>
        <v>0</v>
      </c>
      <c r="F16" s="11" t="n">
        <f aca="false">COUNTIFS('Find &amp; Replace'!$G$2:$G$130,$A16,'Find &amp; Replace'!$H$2:$H$130,"Skipped")</f>
        <v>0</v>
      </c>
    </row>
    <row r="18" customFormat="false" ht="15" hidden="false" customHeight="false" outlineLevel="0" collapsed="false">
      <c r="A18" s="13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0" t="s">
        <v>354</v>
      </c>
      <c r="B1" s="10" t="s">
        <v>355</v>
      </c>
    </row>
    <row r="2" customFormat="false" ht="15" hidden="false" customHeight="false" outlineLevel="0" collapsed="false">
      <c r="A2" s="2" t="s">
        <v>356</v>
      </c>
      <c r="B2" s="2" t="s">
        <v>357</v>
      </c>
    </row>
    <row r="3" customFormat="false" ht="15" hidden="false" customHeight="false" outlineLevel="0" collapsed="false">
      <c r="A3" s="2" t="s">
        <v>358</v>
      </c>
      <c r="B3" s="2" t="s">
        <v>357</v>
      </c>
    </row>
    <row r="4" customFormat="false" ht="15" hidden="false" customHeight="false" outlineLevel="0" collapsed="false">
      <c r="A4" s="2" t="s">
        <v>359</v>
      </c>
      <c r="B4" s="2" t="s">
        <v>360</v>
      </c>
    </row>
    <row r="5" customFormat="false" ht="23.85" hidden="false" customHeight="false" outlineLevel="0" collapsed="false">
      <c r="A5" s="2" t="s">
        <v>361</v>
      </c>
      <c r="B5" s="2" t="s">
        <v>362</v>
      </c>
    </row>
    <row r="6" customFormat="false" ht="46.25" hidden="false" customHeight="false" outlineLevel="0" collapsed="false">
      <c r="A6" s="2" t="s">
        <v>363</v>
      </c>
      <c r="B6" s="2" t="s">
        <v>364</v>
      </c>
    </row>
    <row r="7" customFormat="false" ht="23.85" hidden="false" customHeight="false" outlineLevel="0" collapsed="false">
      <c r="A7" s="2" t="s">
        <v>365</v>
      </c>
      <c r="B7" s="2" t="s">
        <v>366</v>
      </c>
    </row>
    <row r="8" customFormat="false" ht="23.85" hidden="false" customHeight="false" outlineLevel="0" collapsed="false">
      <c r="A8" s="2" t="s">
        <v>367</v>
      </c>
      <c r="B8" s="2" t="s">
        <v>368</v>
      </c>
    </row>
    <row r="9" customFormat="false" ht="23.85" hidden="false" customHeight="false" outlineLevel="0" collapsed="false">
      <c r="A9" s="2" t="s">
        <v>369</v>
      </c>
      <c r="B9" s="2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3" t="s">
        <v>371</v>
      </c>
      <c r="B1" s="2" t="s">
        <v>372</v>
      </c>
    </row>
    <row r="2" customFormat="false" ht="15" hidden="false" customHeight="false" outlineLevel="0" collapsed="false">
      <c r="A2" s="14" t="s">
        <v>13</v>
      </c>
      <c r="B2" s="2" t="s">
        <v>373</v>
      </c>
    </row>
    <row r="3" customFormat="false" ht="15" hidden="false" customHeight="false" outlineLevel="0" collapsed="false">
      <c r="A3" s="14" t="s">
        <v>33</v>
      </c>
      <c r="B3" s="2" t="s">
        <v>374</v>
      </c>
    </row>
    <row r="4" customFormat="false" ht="15" hidden="false" customHeight="false" outlineLevel="0" collapsed="false">
      <c r="A4" s="15" t="s">
        <v>37</v>
      </c>
      <c r="B4" s="2" t="s">
        <v>375</v>
      </c>
    </row>
    <row r="5" customFormat="false" ht="15" hidden="false" customHeight="false" outlineLevel="0" collapsed="false">
      <c r="A5" s="15" t="s">
        <v>58</v>
      </c>
      <c r="B5" s="2" t="s">
        <v>376</v>
      </c>
    </row>
    <row r="6" customFormat="false" ht="15" hidden="false" customHeight="false" outlineLevel="0" collapsed="false">
      <c r="A6" s="16" t="s">
        <v>135</v>
      </c>
      <c r="B6" s="2" t="s">
        <v>377</v>
      </c>
    </row>
    <row r="7" customFormat="false" ht="15" hidden="false" customHeight="false" outlineLevel="0" collapsed="false">
      <c r="A7" s="17" t="s">
        <v>137</v>
      </c>
      <c r="B7" s="2" t="s">
        <v>378</v>
      </c>
    </row>
    <row r="8" customFormat="false" ht="15" hidden="false" customHeight="false" outlineLevel="0" collapsed="false">
      <c r="A8" s="14" t="s">
        <v>41</v>
      </c>
      <c r="B8" s="2" t="s">
        <v>379</v>
      </c>
    </row>
    <row r="9" customFormat="false" ht="15" hidden="false" customHeight="false" outlineLevel="0" collapsed="false">
      <c r="A9" s="3" t="s">
        <v>6</v>
      </c>
      <c r="B9" s="2" t="s">
        <v>380</v>
      </c>
    </row>
    <row r="10" customFormat="false" ht="35.05" hidden="false" customHeight="false" outlineLevel="0" collapsed="false">
      <c r="A10" s="3" t="s">
        <v>381</v>
      </c>
      <c r="B10" s="2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2026-10-09T17:05:30Z</dcterms:created>
  <dc:creator>openpyxl</dc:creator>
  <dc:description/>
  <dc:language>en-US</dc:language>
  <cp:lastModifiedBy/>
  <dcterms:modified xsi:type="dcterms:W3CDTF">2026-10-09T17:05:30Z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